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hdisegutl.sharepoint.com/sites/LIS-GENERAL-SecuritiesResearch/Shared Documents/Securities Research/One Pagers/24-25/Team 06 (José Lima)/"/>
    </mc:Choice>
  </mc:AlternateContent>
  <xr:revisionPtr revIDLastSave="58" documentId="11_2507AE9A6879BAD8E14187F582F98BE498C29601" xr6:coauthVersionLast="47" xr6:coauthVersionMax="47" xr10:uidLastSave="{64C325C8-4E9E-4203-9249-3CB04A2ADD6E}"/>
  <bookViews>
    <workbookView xWindow="-108" yWindow="-108" windowWidth="23256" windowHeight="13896" firstSheet="5" activeTab="6" xr2:uid="{00000000-000D-0000-FFFF-FFFF00000000}"/>
  </bookViews>
  <sheets>
    <sheet name="Enterprise Value" sheetId="2" r:id="rId1"/>
    <sheet name="Multiples" sheetId="3" r:id="rId2"/>
    <sheet name="Income - GAAP" sheetId="4" r:id="rId3"/>
    <sheet name="Bal Sheet - Standardized" sheetId="5" r:id="rId4"/>
    <sheet name="Cash Flow - Standardized" sheetId="6" r:id="rId5"/>
    <sheet name="Profitability" sheetId="7" r:id="rId6"/>
    <sheet name="By Measure" sheetId="8" r:id="rId7"/>
    <sheet name="By Geography" sheetId="9" r:id="rId8"/>
    <sheet name="ESG - Overview" sheetId="10" r:id="rId9"/>
    <sheet name="Environmental" sheetId="11" r:id="rId10"/>
    <sheet name="Social" sheetId="12" r:id="rId11"/>
    <sheet name="Governance" sheetId="13" r:id="rId12"/>
    <sheet name="Exec &amp; Dir Comp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5" l="1"/>
  <c r="L35" i="5"/>
  <c r="M35" i="5"/>
  <c r="N35" i="5"/>
  <c r="O35" i="5"/>
  <c r="P35" i="5"/>
  <c r="Q35" i="5"/>
  <c r="R35" i="5"/>
  <c r="S35" i="5"/>
  <c r="T35" i="5"/>
  <c r="L15" i="4"/>
  <c r="M15" i="4" s="1"/>
  <c r="N15" i="4" s="1"/>
  <c r="O15" i="4" s="1"/>
  <c r="P15" i="4" s="1"/>
  <c r="Q15" i="4" s="1"/>
  <c r="K15" i="4"/>
</calcChain>
</file>

<file path=xl/sharedStrings.xml><?xml version="1.0" encoding="utf-8"?>
<sst xmlns="http://schemas.openxmlformats.org/spreadsheetml/2006/main" count="7425" uniqueCount="1333">
  <si>
    <t>Celestica Inc (CLS CN) - Enterprise Value</t>
  </si>
  <si>
    <t>In Millions of USD except Per Share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</si>
  <si>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</si>
  <si>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</si>
  <si>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</si>
  <si>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</si>
  <si>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</si>
  <si>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</si>
  <si>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</si>
  <si>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</si>
  <si>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</si>
  <si>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</si>
  <si>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</si>
  <si>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</si>
  <si>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</si>
  <si>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</si>
  <si>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</si>
  <si>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Current</t>
  </si>
  <si>
    <t>FY 2025 Est</t>
  </si>
  <si>
    <t>FY 2026 Est</t>
  </si>
  <si>
    <t>12 Months Ending</t>
  </si>
  <si>
    <t>12/31/2010</t>
  </si>
  <si>
    <t>12/31/2011</t>
  </si>
  <si>
    <t>12/31/2012</t>
  </si>
  <si>
    <t>12/31/2013</t>
  </si>
  <si>
    <t>12/31/2014</t>
  </si>
  <si>
    <t>12/31/2015</t>
  </si>
  <si>
    <t>12/31/2016</t>
  </si>
  <si>
    <t>12/31/2017</t>
  </si>
  <si>
    <t>12/31/2018</t>
  </si>
  <si>
    <t>12/31/2019</t>
  </si>
  <si>
    <t>12/31/2020</t>
  </si>
  <si>
    <t>12/31/2021</t>
  </si>
  <si>
    <t>12/31/2022</t>
  </si>
  <si>
    <t>12/31/2023</t>
  </si>
  <si>
    <t>12/31/2024</t>
  </si>
  <si>
    <t>04/07/2025</t>
  </si>
  <si>
    <t>12/31/2025</t>
  </si>
  <si>
    <t>12/31/2026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</si>
  <si>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</si>
  <si>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</si>
  <si>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</si>
  <si>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</si>
  <si>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</si>
  <si>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>PFD_EQTY_HYBRID_CAPITAL</t>
  </si>
  <si>
    <t xml:space="preserve">  + Minority Interest</t>
  </si>
  <si>
    <t>MINORITY_NONCONTROLLING_INTEREST</t>
  </si>
  <si>
    <t xml:space="preserve">  + Total Debt</t>
  </si>
  <si>
    <t>SHORT_AND_LONG_TERM_DEBT</t>
  </si>
  <si>
    <t>Enterprise Value</t>
  </si>
  <si>
    <t>ENTERPRISE_VALUE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</si>
  <si>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</si>
  <si>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</si>
  <si>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</si>
  <si>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</si>
  <si>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</si>
  <si>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</si>
  <si>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EV/Sales</t>
  </si>
  <si>
    <t>EV_TO_T12M_SALES</t>
  </si>
  <si>
    <t>EV/EBITDA</t>
  </si>
  <si>
    <t>EV_TO_T12M_EBITDA</t>
  </si>
  <si>
    <t>EV/EBIT</t>
  </si>
  <si>
    <t>EV_TO_T12M_EBIT</t>
  </si>
  <si>
    <t>EV/Cash Flow to Firm</t>
  </si>
  <si>
    <t>EV_TO_T12M_CASH_FLOW_FIRM</t>
  </si>
  <si>
    <t>—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</si>
  <si>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</si>
  <si>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</si>
  <si>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</si>
  <si>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</si>
  <si>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</si>
  <si>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</si>
  <si>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</si>
  <si>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</si>
  <si>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Reference Items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</si>
  <si>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</si>
  <si>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</si>
  <si>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</si>
  <si>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</si>
  <si>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</si>
  <si>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</si>
  <si>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</si>
  <si>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EBITDA</t>
  </si>
  <si>
    <t>TRAIL_12M_EBITDA</t>
  </si>
  <si>
    <t>EBIT</t>
  </si>
  <si>
    <t>TRAIL_12M_OPER_INC</t>
  </si>
  <si>
    <t>Cash Flow To Firm</t>
  </si>
  <si>
    <t>TRAIL_12M_CASH_FLOW_FIRM</t>
  </si>
  <si>
    <t>Free Cash Flow To Firm</t>
  </si>
  <si>
    <t>TRAIL_12M_FREE_CASH_FLOW_FIRM</t>
  </si>
  <si>
    <t>Source: Bloomberg</t>
  </si>
  <si>
    <t>Right click to show data transparency (not supported for all values)</t>
  </si>
  <si>
    <t>Celestica Inc (CLS CN) - Multiples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</si>
  <si>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</si>
  <si>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</si>
  <si>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</si>
  <si>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</si>
  <si>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</si>
  <si>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</si>
  <si>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</si>
  <si>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</si>
  <si>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</si>
  <si>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</si>
  <si>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</si>
  <si>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</si>
  <si>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</si>
  <si>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</si>
  <si>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</si>
  <si>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</si>
  <si>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</si>
  <si>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</si>
  <si>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</si>
  <si>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</si>
  <si>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</si>
  <si>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</si>
  <si>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</si>
  <si>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</si>
  <si>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</si>
  <si>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</si>
  <si>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</si>
  <si>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</si>
  <si>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</si>
  <si>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</si>
  <si>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</si>
  <si>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</si>
  <si>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</si>
  <si>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AVERAGE_EV_TO_T12M_SALES</t>
  </si>
  <si>
    <t>HIGH_EV_TO_T12M_SALES</t>
  </si>
  <si>
    <t>LOW_EV_TO_T12M_SALES</t>
  </si>
  <si>
    <t>AVG_EV_TO_T12M_EBITDA</t>
  </si>
  <si>
    <t>HIGH_EV_TO_T12M_EBITDA</t>
  </si>
  <si>
    <t>LOW_EV_TO_T12M_EBITDA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</si>
  <si>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</si>
  <si>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</si>
  <si>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</si>
  <si>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</si>
  <si>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</si>
  <si>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</si>
  <si>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</si>
  <si>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AVERAGE_ENTERPRISE_VALUE</t>
  </si>
  <si>
    <t>HIGH_ENTERPRISE_VALUE</t>
  </si>
  <si>
    <t>LOW_ENTERPRISE_VALUE</t>
  </si>
  <si>
    <t>Celestica Inc (CLS CN) - GAAP</t>
  </si>
  <si>
    <t>Last 12M</t>
  </si>
  <si>
    <t>Revenue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</si>
  <si>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</si>
  <si>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</si>
  <si>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</si>
  <si>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</si>
  <si>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</si>
  <si>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</si>
  <si>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</si>
  <si>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 Profit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</si>
  <si>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</si>
  <si>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</si>
  <si>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</si>
  <si>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</si>
  <si>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</si>
  <si>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</si>
  <si>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</si>
  <si>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</si>
  <si>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</si>
  <si>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</si>
  <si>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</si>
  <si>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</si>
  <si>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</si>
  <si>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</si>
  <si>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</si>
  <si>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</si>
  <si>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</si>
  <si>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</si>
  <si>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</si>
  <si>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</si>
  <si>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</si>
  <si>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</si>
  <si>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</si>
  <si>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</si>
  <si>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</si>
  <si>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</si>
  <si>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</si>
  <si>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</si>
  <si>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</si>
  <si>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</si>
  <si>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</si>
  <si>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</si>
  <si>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</si>
  <si>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</si>
  <si>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</si>
  <si>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</si>
  <si>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</si>
  <si>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</si>
  <si>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</si>
  <si>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</si>
  <si>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</si>
  <si>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</si>
  <si>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</si>
  <si>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</si>
  <si>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</si>
  <si>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</si>
  <si>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</si>
  <si>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</si>
  <si>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</si>
  <si>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</si>
  <si>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</si>
  <si>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</si>
  <si>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</si>
  <si>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</si>
  <si>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</si>
  <si>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</si>
  <si>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</si>
  <si>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</si>
  <si>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</si>
  <si>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</si>
  <si>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</si>
  <si>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</si>
  <si>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</si>
  <si>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</si>
  <si>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</si>
  <si>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</si>
  <si>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</si>
  <si>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</si>
  <si>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</si>
  <si>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</si>
  <si>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</si>
  <si>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</si>
  <si>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</si>
  <si>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</si>
  <si>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</si>
  <si>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</si>
  <si>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</si>
  <si>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</si>
  <si>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</si>
  <si>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</si>
  <si>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</si>
  <si>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IAS/IFRS</t>
  </si>
  <si>
    <t>EBITDA Margin (T12M)</t>
  </si>
  <si>
    <t>EBITDA_MARGIN</t>
  </si>
  <si>
    <t>EBITA</t>
  </si>
  <si>
    <t>Gross Margin</t>
  </si>
  <si>
    <t>GROSS_MARGIN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</si>
  <si>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</si>
  <si>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</si>
  <si>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</si>
  <si>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</si>
  <si>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</si>
  <si>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</si>
  <si>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</si>
  <si>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</si>
  <si>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</si>
  <si>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</si>
  <si>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</si>
  <si>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</si>
  <si>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Depreciation Expense</t>
  </si>
  <si>
    <t>IS_DEPR_EXP</t>
  </si>
  <si>
    <t>Rental Expense</t>
  </si>
  <si>
    <t>BS_CURR_RENTAL_EXPENSE</t>
  </si>
  <si>
    <t>Celestica Inc (CLS CN) - Standardized</t>
  </si>
  <si>
    <t>FY 2007</t>
  </si>
  <si>
    <t>FY 2008</t>
  </si>
  <si>
    <t>FY 2009</t>
  </si>
  <si>
    <t>12/31/2007</t>
  </si>
  <si>
    <t>12/31/2008</t>
  </si>
  <si>
    <t>12/31/2009</t>
  </si>
  <si>
    <t>Total Assets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</si>
  <si>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</si>
  <si>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</si>
  <si>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</si>
  <si>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</si>
  <si>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</si>
  <si>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</si>
  <si>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</si>
  <si>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</si>
  <si>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</si>
  <si>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</si>
  <si>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</si>
  <si>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</si>
  <si>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</si>
  <si>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</si>
  <si>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</si>
  <si>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</si>
  <si>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</si>
  <si>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</si>
  <si>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</si>
  <si>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</si>
  <si>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</si>
  <si>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</si>
  <si>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</si>
  <si>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</si>
  <si>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</si>
  <si>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</si>
  <si>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Assets Held-for-Sale</t>
  </si>
  <si>
    <t>BS_ASSETS_HELD_FOR_SALE_ST</t>
  </si>
  <si>
    <t xml:space="preserve">    + Deferred Tax Assets</t>
  </si>
  <si>
    <t>BS_DEFERRED_TAX_ASSETS_ST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</si>
  <si>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</si>
  <si>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</si>
  <si>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</si>
  <si>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</si>
  <si>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Total Current Assets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</si>
  <si>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</si>
  <si>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</si>
  <si>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</si>
  <si>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</si>
  <si>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</si>
  <si>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</si>
  <si>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</si>
  <si>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</si>
  <si>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</si>
  <si>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</si>
  <si>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</si>
  <si>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</si>
  <si>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</si>
  <si>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</si>
  <si>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</si>
  <si>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</si>
  <si>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</si>
  <si>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</si>
  <si>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</si>
  <si>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</si>
  <si>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</si>
  <si>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</si>
  <si>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</si>
  <si>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</si>
  <si>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</si>
  <si>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BS_TOT_ASSET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</si>
  <si>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</si>
  <si>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</si>
  <si>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</si>
  <si>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</si>
  <si>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</si>
  <si>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</si>
  <si>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</si>
  <si>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</si>
  <si>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</si>
  <si>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</si>
  <si>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</si>
  <si>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</si>
  <si>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</si>
  <si>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</si>
  <si>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</si>
  <si>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</si>
  <si>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</si>
  <si>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</si>
  <si>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</si>
  <si>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</si>
  <si>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>BS_ST_OPERATING_LEASE_LIABS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</si>
  <si>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</si>
  <si>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</si>
  <si>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</si>
  <si>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</si>
  <si>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</si>
  <si>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</si>
  <si>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</si>
  <si>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</si>
  <si>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</si>
  <si>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</si>
  <si>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Total Current Liabilities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</si>
  <si>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</si>
  <si>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</si>
  <si>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</si>
  <si>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</si>
  <si>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</si>
  <si>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</si>
  <si>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</si>
  <si>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</si>
  <si>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</si>
  <si>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</si>
  <si>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>BS_LT_OPERATING_LEASE_LIABS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</si>
  <si>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</si>
  <si>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</si>
  <si>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</si>
  <si>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</si>
  <si>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</si>
  <si>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</si>
  <si>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</si>
  <si>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 xml:space="preserve">    + Deferred Tax Liabilities</t>
  </si>
  <si>
    <t>BS_DEFERRED_TAX_LIABILITIES_LT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</si>
  <si>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</si>
  <si>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</si>
  <si>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</si>
  <si>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</si>
  <si>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</si>
  <si>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Total Liabilities</t>
  </si>
  <si>
    <t>BS_TOT_LIAB2</t>
  </si>
  <si>
    <t xml:space="preserve">  + Preferred Equity and Hybrid 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</si>
  <si>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</si>
  <si>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</si>
  <si>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</si>
  <si>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</si>
  <si>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</si>
  <si>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</si>
  <si>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</si>
  <si>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</si>
  <si>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</si>
  <si>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</si>
  <si>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</si>
  <si>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</si>
  <si>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</si>
  <si>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</si>
  <si>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</si>
  <si>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Total Equity</t>
  </si>
  <si>
    <t>TOTAL_EQUITY</t>
  </si>
  <si>
    <t>Total Liabilities &amp; Equity</t>
  </si>
  <si>
    <t>TOT_LIAB_AND_EQY</t>
  </si>
  <si>
    <t>CA GAAP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</si>
  <si>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</si>
  <si>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</si>
  <si>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</si>
  <si>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</si>
  <si>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</si>
  <si>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</si>
  <si>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</si>
  <si>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</si>
  <si>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</si>
  <si>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</si>
  <si>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</si>
  <si>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</si>
  <si>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</si>
  <si>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</si>
  <si>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</si>
  <si>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</si>
  <si>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</si>
  <si>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</si>
  <si>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</si>
  <si>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</si>
  <si>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</si>
  <si>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</si>
  <si>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</si>
  <si>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</si>
  <si>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</si>
  <si>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</si>
  <si>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</si>
  <si>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</si>
  <si>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</si>
  <si>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</si>
  <si>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</si>
  <si>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</si>
  <si>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</si>
  <si>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</si>
  <si>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</si>
  <si>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</si>
  <si>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</si>
  <si>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</si>
  <si>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</si>
  <si>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</si>
  <si>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</si>
  <si>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</si>
  <si>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</si>
  <si>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</si>
  <si>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</si>
  <si>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</si>
  <si>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</si>
  <si>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</si>
  <si>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</si>
  <si>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</si>
  <si>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</si>
  <si>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</si>
  <si>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</si>
  <si>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</si>
  <si>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</si>
  <si>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</si>
  <si>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</si>
  <si>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</si>
  <si>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</si>
  <si>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</si>
  <si>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</si>
  <si>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</si>
  <si>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</si>
  <si>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</si>
  <si>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</si>
  <si>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</si>
  <si>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</si>
  <si>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</si>
  <si>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</si>
  <si>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</si>
  <si>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</si>
  <si>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</si>
  <si>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</si>
  <si>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</si>
  <si>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</si>
  <si>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</si>
  <si>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</si>
  <si>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</si>
  <si>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</si>
  <si>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</si>
  <si>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</si>
  <si>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</si>
  <si>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</si>
  <si>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</si>
  <si>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</si>
  <si>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</si>
  <si>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</si>
  <si>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</si>
  <si>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</si>
  <si>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</si>
  <si>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</si>
  <si>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</si>
  <si>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</si>
  <si>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</si>
  <si>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</si>
  <si>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</si>
  <si>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</si>
  <si>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</si>
  <si>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</si>
  <si>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</si>
  <si>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</si>
  <si>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</si>
  <si>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</si>
  <si>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</si>
  <si>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</si>
  <si>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</si>
  <si>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</si>
  <si>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</si>
  <si>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Cash Paid for Taxes</t>
  </si>
  <si>
    <t>CF_CASH_PAID_FOR_TAX</t>
  </si>
  <si>
    <t>Cash Paid for Interest</t>
  </si>
  <si>
    <t>CF_ACT_CASH_PAID_FOR_INT_DEBT</t>
  </si>
  <si>
    <t>Trailing 12M EBITDA Margin</t>
  </si>
  <si>
    <t>Interest Received</t>
  </si>
  <si>
    <t>CF_INTEREST_RECEIVED</t>
  </si>
  <si>
    <t>Net Cash Paid for Acquisitions</t>
  </si>
  <si>
    <t>CF_NET_CASH_PAID_FOR_AQUIS</t>
  </si>
  <si>
    <t>Free Cash Flow</t>
  </si>
  <si>
    <t>CF_FREE_CASH_FLOW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</si>
  <si>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</si>
  <si>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</si>
  <si>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</si>
  <si>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</si>
  <si>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</si>
  <si>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</si>
  <si>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</si>
  <si>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Cash Flow to Net Income</t>
  </si>
  <si>
    <t>CASH_FLOW_TO_NET_INC</t>
  </si>
  <si>
    <t>Celestica Inc (CLS CN)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</si>
  <si>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</si>
  <si>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</si>
  <si>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</si>
  <si>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</si>
  <si>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</si>
  <si>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</si>
  <si>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</si>
  <si>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</si>
  <si>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</si>
  <si>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</si>
  <si>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</si>
  <si>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</si>
  <si>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</si>
  <si>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</si>
  <si>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</si>
  <si>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</si>
  <si>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</si>
  <si>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</si>
  <si>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</si>
  <si>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</si>
  <si>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</si>
  <si>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</si>
  <si>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</si>
  <si>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</si>
  <si>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</si>
  <si>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</si>
  <si>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</si>
  <si>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</si>
  <si>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Celestica Inc (CLS CN) - By Measure</t>
  </si>
  <si>
    <t xml:space="preserve">  Connectivity &amp; Cloud Solutions</t>
  </si>
  <si>
    <t xml:space="preserve">    Communications End Market</t>
  </si>
  <si>
    <t xml:space="preserve">    Enterprise End Market</t>
  </si>
  <si>
    <t xml:space="preserve">  Advanced Technology Solutions</t>
  </si>
  <si>
    <t xml:space="preserve">  Telecommunications</t>
  </si>
  <si>
    <t xml:space="preserve">  Electronics Manufacturing Services</t>
  </si>
  <si>
    <t xml:space="preserve">    Diversified</t>
  </si>
  <si>
    <t xml:space="preserve">    Industrial, Aerospace &amp; Defense</t>
  </si>
  <si>
    <t xml:space="preserve">    Consumer</t>
  </si>
  <si>
    <t xml:space="preserve">    Servers</t>
  </si>
  <si>
    <t xml:space="preserve">    Storage</t>
  </si>
  <si>
    <t xml:space="preserve">    Enterprise Communications</t>
  </si>
  <si>
    <t>Percentage of Revenue</t>
  </si>
  <si>
    <t>Segment Profit</t>
  </si>
  <si>
    <t>Celestica Inc (CLS CN) - By Geography</t>
  </si>
  <si>
    <t xml:space="preserve">  Romania</t>
  </si>
  <si>
    <t xml:space="preserve">  Canada</t>
  </si>
  <si>
    <t xml:space="preserve">  Malaysia</t>
  </si>
  <si>
    <t xml:space="preserve">  China</t>
  </si>
  <si>
    <t xml:space="preserve">  Mexico</t>
  </si>
  <si>
    <t xml:space="preserve">  Thailand</t>
  </si>
  <si>
    <t xml:space="preserve">  Other Countries</t>
  </si>
  <si>
    <t>Property/Plant/Equipment</t>
  </si>
  <si>
    <t xml:space="preserve">  United States</t>
  </si>
  <si>
    <t>Long-Term Assets</t>
  </si>
  <si>
    <t>Celestica Inc (CLS CN) - Overview</t>
  </si>
  <si>
    <t>ESG Financial Materiality Scores</t>
  </si>
  <si>
    <t>BESG ESG Score</t>
  </si>
  <si>
    <t>ESG_SCORE</t>
  </si>
  <si>
    <t>BESG Environmental Pillar Score</t>
  </si>
  <si>
    <t>ENVIRONMENTAL_SCORE</t>
  </si>
  <si>
    <t>BESG Social Pillar Score</t>
  </si>
  <si>
    <t>SOCIAL_SCORE</t>
  </si>
  <si>
    <t>BESG Governance Pillar Score</t>
  </si>
  <si>
    <t>GOVERNANCE_SCORE</t>
  </si>
  <si>
    <t>ESG Disclosure Scores</t>
  </si>
  <si>
    <t>ESG Disclosure Score</t>
  </si>
  <si>
    <t>ESG_DISCLOSURE_SCORE</t>
  </si>
  <si>
    <t>Environmental Disclosure Score</t>
  </si>
  <si>
    <t>ENVIRON_DISCLOSURE_SCORE</t>
  </si>
  <si>
    <t>Social Disclosure Score</t>
  </si>
  <si>
    <t>SOCIAL_DISCLOSURE_SCORE</t>
  </si>
  <si>
    <t>Governance Disclosure Score</t>
  </si>
  <si>
    <t>GOVNCE_DISCLOSURE_SCORE</t>
  </si>
  <si>
    <t>Environmental</t>
  </si>
  <si>
    <t>Air Quality</t>
  </si>
  <si>
    <t>Nitrogen Oxide Emissions</t>
  </si>
  <si>
    <t>NOX_EMISSIONS</t>
  </si>
  <si>
    <t>VOC Emissions</t>
  </si>
  <si>
    <t>VOC_EMISSIONS</t>
  </si>
  <si>
    <t>Particulate Emissions</t>
  </si>
  <si>
    <t>PARTICULATE_EMISSIONS</t>
  </si>
  <si>
    <t>Sulphur Dioxide / Sulphur Oxide Emissions</t>
  </si>
  <si>
    <t>SULPHUR_DIOXIDE_SULPHUR_OXIDE_EM</t>
  </si>
  <si>
    <t>Climate Change</t>
  </si>
  <si>
    <t>Emissions Reduction Initiatives</t>
  </si>
  <si>
    <t>EMISSION_REDUCTION</t>
  </si>
  <si>
    <t>Transition Plan Claim</t>
  </si>
  <si>
    <t>TRANSITION_PLAN_INDICATOR</t>
  </si>
  <si>
    <t>n/a</t>
  </si>
  <si>
    <t>Climate Change Policy</t>
  </si>
  <si>
    <t>CLIMATE_CHG_POLICY</t>
  </si>
  <si>
    <t>Climate Change Opportunities Discussed</t>
  </si>
  <si>
    <t>CLIMATE_CHG_OPPORTUNITIES</t>
  </si>
  <si>
    <t>Risks of Climate Change Discussed</t>
  </si>
  <si>
    <t>CLIMATE_RISKS</t>
  </si>
  <si>
    <t>CO2 Scope 1</t>
  </si>
  <si>
    <t>CO2_SCOPE_1</t>
  </si>
  <si>
    <t>GHG Scope 1</t>
  </si>
  <si>
    <t>GHG_SCOPE_1</t>
  </si>
  <si>
    <t>GHG Scope 2 Location-Based</t>
  </si>
  <si>
    <t>GHG_SCOPE_2_LOCATION_BASED</t>
  </si>
  <si>
    <t>GHG Scope 2 Market-Based</t>
  </si>
  <si>
    <t>GHG_SCOPE_2_MARKET_BASED</t>
  </si>
  <si>
    <t>GHG Scope 3</t>
  </si>
  <si>
    <t>GHG_SCOPE_3</t>
  </si>
  <si>
    <t>Scope of Disclosure</t>
  </si>
  <si>
    <t>SCOPE_OF_DISCLOSURE</t>
  </si>
  <si>
    <t>Energy</t>
  </si>
  <si>
    <t>Energy Efficiency Policy</t>
  </si>
  <si>
    <t>ENERGY_EFFIC_POLICY</t>
  </si>
  <si>
    <t>Total Energy Consumption</t>
  </si>
  <si>
    <t>ENERGY_CONSUMPTION</t>
  </si>
  <si>
    <t>Renewable Energy Use</t>
  </si>
  <si>
    <t>RENEW_ENERGY_USE</t>
  </si>
  <si>
    <t>Electricity Used</t>
  </si>
  <si>
    <t>ELECTRICITY_USED</t>
  </si>
  <si>
    <t>Self Generated Renewable Electricity</t>
  </si>
  <si>
    <t>SELF_GEN_RENEWABLE_ELECTRICITY</t>
  </si>
  <si>
    <t>Fuel Used - Coal/Lignite</t>
  </si>
  <si>
    <t>COAL_USED</t>
  </si>
  <si>
    <t>Fuel Used - Natural Gas</t>
  </si>
  <si>
    <t>NAT_GAS_USED</t>
  </si>
  <si>
    <t>Fuel Used - Crude Oil/Diesel</t>
  </si>
  <si>
    <t>OIL_DIESEL_USED</t>
  </si>
  <si>
    <t>Materials &amp; Waste</t>
  </si>
  <si>
    <t>Waste Reduction Policy</t>
  </si>
  <si>
    <t>WASTE_REDUCTION</t>
  </si>
  <si>
    <t>Hazardous Waste</t>
  </si>
  <si>
    <t>HAZARDOUS_WASTE</t>
  </si>
  <si>
    <t>Total Waste</t>
  </si>
  <si>
    <t>TOTAL_WASTE</t>
  </si>
  <si>
    <t>Waste Recycled</t>
  </si>
  <si>
    <t>WASTE_RECYCLED</t>
  </si>
  <si>
    <t>Waste Sent to Landfills</t>
  </si>
  <si>
    <t>WASTE_SENT_TO_LANDFILLS</t>
  </si>
  <si>
    <t>Supply Chain</t>
  </si>
  <si>
    <t>Environmental Supply Chain Management</t>
  </si>
  <si>
    <t>ENVIRON_SUPPLY_MGT</t>
  </si>
  <si>
    <t>Water</t>
  </si>
  <si>
    <t>Water Policy</t>
  </si>
  <si>
    <t>WATER_POLICY</t>
  </si>
  <si>
    <t>Total Water Withdrawal</t>
  </si>
  <si>
    <t>TOTAL_WATER_WITHDRAWAL</t>
  </si>
  <si>
    <t>Total Water Discharged</t>
  </si>
  <si>
    <t>TOTAL_WATER_DISCHARGED</t>
  </si>
  <si>
    <t>Water Consumption</t>
  </si>
  <si>
    <t>WATER_CONSMPTN</t>
  </si>
  <si>
    <t>Ecological &amp; Biodiversity Impacts</t>
  </si>
  <si>
    <t>Biodiversity Policy</t>
  </si>
  <si>
    <t>BIODIVERSITY_POLICY</t>
  </si>
  <si>
    <t>Adopts TNFD Recommendations</t>
  </si>
  <si>
    <t>ADOPT_TNFD_RECOMMENDATIONS</t>
  </si>
  <si>
    <t>Zero Deforestation Policy</t>
  </si>
  <si>
    <t>ZERO_DEFORESTATION_POLICY</t>
  </si>
  <si>
    <t>Board Level Oversight of Biodiversity</t>
  </si>
  <si>
    <t>BOARD_LEVEL_OVERSIGHT_BIODIV</t>
  </si>
  <si>
    <t>Executive Level Oversight of Biodiversity</t>
  </si>
  <si>
    <t>EXEC_LEVEL_OVERSIGHT_BIODIV</t>
  </si>
  <si>
    <t>Social</t>
  </si>
  <si>
    <t>Community &amp; Customers</t>
  </si>
  <si>
    <t>Human Rights Policy</t>
  </si>
  <si>
    <t>HUMAN_RIGHTS_POLICY</t>
  </si>
  <si>
    <t>Policy Against Child Labor</t>
  </si>
  <si>
    <t>POLICY_AGAINST_CHILD_LABOR</t>
  </si>
  <si>
    <t>Quality Assurance and Recall Policy</t>
  </si>
  <si>
    <t>QUALITY_ASSURANCE_AND_RECALL_POL</t>
  </si>
  <si>
    <t>Consumer Data Protection Policy</t>
  </si>
  <si>
    <t>CONSUMER_DATA_PROTECTION_POLICY</t>
  </si>
  <si>
    <t>Diversity</t>
  </si>
  <si>
    <t>Equal Opportunity Policy</t>
  </si>
  <si>
    <t>EQUAL_OPPORTUNITY_POLICY</t>
  </si>
  <si>
    <t>Gender Pay Gap Breakout</t>
  </si>
  <si>
    <t>GENDER_PAY_GAP_BREAKOUT</t>
  </si>
  <si>
    <t>Pct Women in Senior Management</t>
  </si>
  <si>
    <t>PCT_WOMEN_SENIOR_MGT</t>
  </si>
  <si>
    <t>Pct Women in Workforce</t>
  </si>
  <si>
    <t>PCT_WOMEN_EMPLOYEES</t>
  </si>
  <si>
    <t>Ethics &amp; Compliance</t>
  </si>
  <si>
    <t>Business Ethics Policy</t>
  </si>
  <si>
    <t>ETHICS_POLICY</t>
  </si>
  <si>
    <t>Anti-Bribery Ethics Policy</t>
  </si>
  <si>
    <t>ANTI_BRIBERY_ETHICS_POLICY</t>
  </si>
  <si>
    <t>Political Donations</t>
  </si>
  <si>
    <t>POLITICAL_DONATIONS</t>
  </si>
  <si>
    <t>Health &amp; Safety</t>
  </si>
  <si>
    <t>Health and Safety Policy</t>
  </si>
  <si>
    <t>HEALTH_SAFETY_POLICY</t>
  </si>
  <si>
    <t>Fatalities - Employees</t>
  </si>
  <si>
    <t>FATALITIES_EMPLOYEES</t>
  </si>
  <si>
    <t>Fatalities - Contractors</t>
  </si>
  <si>
    <t>FATALITIES_CONTRACTORS</t>
  </si>
  <si>
    <t>Fatalities - Total</t>
  </si>
  <si>
    <t>FATALITIES_TOTAL</t>
  </si>
  <si>
    <t>Lost Time Incident Rate - Employees</t>
  </si>
  <si>
    <t>LOST_TIME_INCIDENT_RATE</t>
  </si>
  <si>
    <t>Lost Time Incident Rate - Workforce</t>
  </si>
  <si>
    <t>LOST_TM_INCIDENT_RT_WORKFORCE</t>
  </si>
  <si>
    <t>Total Recordable Incident Rate - Employees</t>
  </si>
  <si>
    <t>TOTAL_RECORDABLE_INCIDENT_RATE</t>
  </si>
  <si>
    <t>Total Recordable Incident Rate - Workforce</t>
  </si>
  <si>
    <t>TOT_RECRDBL_INCID_RT_WORKFORCE</t>
  </si>
  <si>
    <t>Human Capital</t>
  </si>
  <si>
    <t>Training Policy</t>
  </si>
  <si>
    <t>TRAINING_POLICY</t>
  </si>
  <si>
    <t>Fair Remuneration Policy</t>
  </si>
  <si>
    <t>FAIR_REMUNERATION_POLICY</t>
  </si>
  <si>
    <t>Number of Employees - CSR</t>
  </si>
  <si>
    <t>NUMBER_EMPLOYEES_CSR</t>
  </si>
  <si>
    <t>Number of Contractors</t>
  </si>
  <si>
    <t>NUMBER_OF_CONTRACTORS</t>
  </si>
  <si>
    <t>Employee Turnover Pct</t>
  </si>
  <si>
    <t>EMPLOYEE_TURNOVER_PCT</t>
  </si>
  <si>
    <t>Pct Employees Unionized</t>
  </si>
  <si>
    <t>PCT_EMPLOYEES_UNIONIZED</t>
  </si>
  <si>
    <t>Total Hours Spent by Firm - Employee Training</t>
  </si>
  <si>
    <t>TOT_HRS_SPENT_BY_FIRM_EMP_TRAIN</t>
  </si>
  <si>
    <t>Company Discloses Employee Engagement Score</t>
  </si>
  <si>
    <t>COMP_DISCLOSES_EMP_ENG_SCORE</t>
  </si>
  <si>
    <t>Social Supply Chain Management</t>
  </si>
  <si>
    <t>SOCIAL_SUPPLY_CHAIN_MGMT</t>
  </si>
  <si>
    <t>Number of Suppliers Audited</t>
  </si>
  <si>
    <t>SUPPLIERS_AUDITED</t>
  </si>
  <si>
    <t>Governance</t>
  </si>
  <si>
    <t>Audit Risk &amp; Oversight</t>
  </si>
  <si>
    <t>Years Auditor Employed</t>
  </si>
  <si>
    <t>YEARS_AUDITOR_EMPLOYED</t>
  </si>
  <si>
    <t>Size of Audit Committee</t>
  </si>
  <si>
    <t>SIZE_OF_AUDIT_COMMITTEE</t>
  </si>
  <si>
    <t>Number of Independent Directors on Audit Committee</t>
  </si>
  <si>
    <t>NUM_IND_DIR_ON_AUD_CMTE</t>
  </si>
  <si>
    <t>Audit Committee Meetings</t>
  </si>
  <si>
    <t>AUDIT_COMMITTEE_MEETINGS</t>
  </si>
  <si>
    <t>Audit Committee Meeting Attendance Percentage</t>
  </si>
  <si>
    <t>AUDIT_COMMITTEE_MTG_ATTEND_PCT</t>
  </si>
  <si>
    <t>Board Composition</t>
  </si>
  <si>
    <t>Company Conducts Board Evaluations</t>
  </si>
  <si>
    <t>COMPANY_CONDUCTS_BRD_EVALUATIONS</t>
  </si>
  <si>
    <t>Board Size</t>
  </si>
  <si>
    <t>BOARD_SIZE</t>
  </si>
  <si>
    <t>Number of Executives / Company Managers</t>
  </si>
  <si>
    <t>NUM_EXECUTIVES_COMP_MANAGERS</t>
  </si>
  <si>
    <t>Number of Non Executive Directors on Board</t>
  </si>
  <si>
    <t>NUM_OF_NONEXEC_DIR_ON_BRD</t>
  </si>
  <si>
    <t>Number of Board Meetings for the Year</t>
  </si>
  <si>
    <t>BOARD_MEETINGS_PER_YR</t>
  </si>
  <si>
    <t>Board Meeting Attendance Pct</t>
  </si>
  <si>
    <t>BOARD_MEETING_ATTENDANCE_PCT</t>
  </si>
  <si>
    <t>Compensation</t>
  </si>
  <si>
    <t>Company Has Executive Share Ownership Guidelines</t>
  </si>
  <si>
    <t>COMP_HAS_EXEC_SH_OWNER_GUIDELNS</t>
  </si>
  <si>
    <t>Director Share Ownership Guidelines</t>
  </si>
  <si>
    <t>DIRECTOR_SH_OWNERSHIP_GUIDELINES</t>
  </si>
  <si>
    <t>Size of Compensation Committee</t>
  </si>
  <si>
    <t>SIZE_OF_COMPENSATION_COMMITTEE</t>
  </si>
  <si>
    <t>Num of Independent Directors on Compensation Cmte</t>
  </si>
  <si>
    <t>NUM_IND_DIR_ON_CMPNSTN_CMTE</t>
  </si>
  <si>
    <t>Number of Compensation Committee Meetings</t>
  </si>
  <si>
    <t>NUM_COMPENSATION_CMTE_MTG</t>
  </si>
  <si>
    <t>Compensation Committee Meeting Attendance %</t>
  </si>
  <si>
    <t>COMPENSATION_CMTE_MTG_ATTEND_PCT</t>
  </si>
  <si>
    <t>Number of Female Executives</t>
  </si>
  <si>
    <t>NUMBER_OF_FEMALE_EXECUTIVES</t>
  </si>
  <si>
    <t>Number of Women on Board</t>
  </si>
  <si>
    <t>NUMBER_OF_WOMEN_ON_BOARD</t>
  </si>
  <si>
    <t>Board Age Limit</t>
  </si>
  <si>
    <t>BOARD_AGE_LIMIT</t>
  </si>
  <si>
    <t>Age of the Youngest Director</t>
  </si>
  <si>
    <t>AGE_OF_YOUNGEST_DIRECTOR</t>
  </si>
  <si>
    <t>Age of the Oldest Director</t>
  </si>
  <si>
    <t>AGE_OF_OLDEST_DIRECTOR</t>
  </si>
  <si>
    <t>Independence</t>
  </si>
  <si>
    <t>Number of Independent Directors</t>
  </si>
  <si>
    <t>INDEPENDENT_DIRECTORS</t>
  </si>
  <si>
    <t>Nominations &amp; Governance Oversight</t>
  </si>
  <si>
    <t>Size of Nomination Committee</t>
  </si>
  <si>
    <t>SIZE_OF_NOMINATION_COMMITTEE</t>
  </si>
  <si>
    <t>Num of Independent Directors on Nomination Cmte</t>
  </si>
  <si>
    <t>NUM_IND_DIR_ON_NOM_CMTE</t>
  </si>
  <si>
    <t>Number of Nomination Committee Meetings</t>
  </si>
  <si>
    <t>NUM_OF_NOMINATION_CMTE_MTG</t>
  </si>
  <si>
    <t>Nomination Committee Meeting Attendance Percentage</t>
  </si>
  <si>
    <t>NOMINATION_CMTE_MTG_ATTEND_PCT</t>
  </si>
  <si>
    <t>Sustainability Governance</t>
  </si>
  <si>
    <t>Verification Type</t>
  </si>
  <si>
    <t>VERIFICATION_TYPE</t>
  </si>
  <si>
    <t>Employee CSR Training</t>
  </si>
  <si>
    <t>EMPLOYEE_CSR_TRAINING</t>
  </si>
  <si>
    <t>Tenure</t>
  </si>
  <si>
    <t>Board Duration (Years)</t>
  </si>
  <si>
    <t>BOARD_DURATION</t>
  </si>
  <si>
    <t>Celestica Inc (CLS CN) - Environmental</t>
  </si>
  <si>
    <t>Scope of Company Reporting</t>
  </si>
  <si>
    <t>Percent of Disclosure</t>
  </si>
  <si>
    <t>PERCENT_OF_DISCLOSURE</t>
  </si>
  <si>
    <t>Reporting Basis Consistent</t>
  </si>
  <si>
    <t>CONSISTENT_REPORTING_BASIS</t>
  </si>
  <si>
    <t>GRI Criteria Compliance</t>
  </si>
  <si>
    <t>GRI_COMPLIANCE</t>
  </si>
  <si>
    <t>GRI Checked</t>
  </si>
  <si>
    <t>GRI_CHECKED</t>
  </si>
  <si>
    <t>SASB Reporting Company</t>
  </si>
  <si>
    <t>SUS_ACCTG_STANDARDS_BRD_RPT_COMP</t>
  </si>
  <si>
    <t>Adopts TCFD Recommendations</t>
  </si>
  <si>
    <t>ADOPT_TCFD_RECOMMENDATIONS</t>
  </si>
  <si>
    <t>Emissions</t>
  </si>
  <si>
    <t>Total GHG Emissions</t>
  </si>
  <si>
    <t>GHG_SCOPE_1_2_LOCATION_BASED</t>
  </si>
  <si>
    <t>GHG Scope 1 &amp; 2 Market-Based</t>
  </si>
  <si>
    <t>GHG_SCOPE_1_2_MARKET_BASED</t>
  </si>
  <si>
    <t>Scope 3 Capital Goods Emissions</t>
  </si>
  <si>
    <t>SCOPE_3_CAPITAL_GOODS</t>
  </si>
  <si>
    <t>Scope 3 Fuel &amp; Energy Related Activities Emissions</t>
  </si>
  <si>
    <t>SCOPE_3_FUEL_ENRG_RELATD_ACT</t>
  </si>
  <si>
    <t>Scope 3 Upstream Transprttn and Distrbtn Emissions</t>
  </si>
  <si>
    <t>SCOPE_3_UPSTREAM_TRANS_DIST</t>
  </si>
  <si>
    <t>Scope 3 Waste Generated in Operations Emissions</t>
  </si>
  <si>
    <t>SCOPE_3_WASTE_GENRTD_IN_OP</t>
  </si>
  <si>
    <t>Scope 3 Employee Commuting Emissions</t>
  </si>
  <si>
    <t>SCOPE_3_EMPLOYEE_COMMUTING</t>
  </si>
  <si>
    <t>Scope 3 Business Travel Emissions</t>
  </si>
  <si>
    <t>SCOPE_3_BUSINESS_TRVL_EMISSIONS</t>
  </si>
  <si>
    <t>Scope 3 Dwnstrm Transprttn and Distrbtn Emissions</t>
  </si>
  <si>
    <t>SCOPE_3_DWNSTRM_TRANS_DIST</t>
  </si>
  <si>
    <t>Scope 3 Processing of Sold Products Emissions</t>
  </si>
  <si>
    <t>SCOPE_3_PRCSS_OF_SOLD_PRODS</t>
  </si>
  <si>
    <t>Scope 3 Use of Sold Products Emissions</t>
  </si>
  <si>
    <t>SCOPE_3_USE_SOLD_PRODUCTS</t>
  </si>
  <si>
    <t>Scope 3 Downstream Leased Assets Emissions</t>
  </si>
  <si>
    <t>SCOPE_3_DWNSTRM_LEASE_ASSTS</t>
  </si>
  <si>
    <t>Scope 3 Purchased Goods and Services Emissions</t>
  </si>
  <si>
    <t>SCOPE_3_PURCH_GOODS_SRVCS</t>
  </si>
  <si>
    <t>Scope 3 Emissions Other</t>
  </si>
  <si>
    <t>SCOPE_3_EMISSIONS_OTHER</t>
  </si>
  <si>
    <t>Direct CO2 Emissions</t>
  </si>
  <si>
    <t>CO2 Scope 2 Market-Based</t>
  </si>
  <si>
    <t>CO2_SCOPE_2_MARKET_BASED</t>
  </si>
  <si>
    <t>Total CO2 Emissions</t>
  </si>
  <si>
    <t>CO2_SCOPE_1_2_LOCATION_BASED</t>
  </si>
  <si>
    <t>CO2 Scope 1 &amp; 2 Market-Based</t>
  </si>
  <si>
    <t>CO2_SCOPE_1_2_MARKET_BASED</t>
  </si>
  <si>
    <t>Methane (CH4) Scope 1</t>
  </si>
  <si>
    <t>METHANE_SCOPE_1</t>
  </si>
  <si>
    <t>Nitrous Oxide (N2O) Scope 1</t>
  </si>
  <si>
    <t>N20_SCOPE_1</t>
  </si>
  <si>
    <t>Methane (CH4) Scope 1 in CO2 Equivalent</t>
  </si>
  <si>
    <t>METHANE_SCOPE_1_IN_CO2_EQUIV</t>
  </si>
  <si>
    <t>Nitrous Oxide (N2O) Scope 1 in CO2 Equivalent</t>
  </si>
  <si>
    <t>N2O_SCOPE_1_IN_CO2_EQUIV</t>
  </si>
  <si>
    <t>NOx Emissions</t>
  </si>
  <si>
    <t>SOx Emissions</t>
  </si>
  <si>
    <t>SULPHUR_OXIDE_EMISSIONS</t>
  </si>
  <si>
    <t>Renewable Energy Certificates</t>
  </si>
  <si>
    <t>RENEWABLE_ENERGY_CERTIFICATES</t>
  </si>
  <si>
    <t>Fuel Used - Oil/Diesel</t>
  </si>
  <si>
    <t>Biomass Fuel Use %</t>
  </si>
  <si>
    <t>BIOMASS_FUEL_USE_PERCENTAGE</t>
  </si>
  <si>
    <t>Total Fuel Consumed</t>
  </si>
  <si>
    <t>TOT_FUEL_CONSUMED</t>
  </si>
  <si>
    <t>Liquefied Petroleum Gas (LPG) Used</t>
  </si>
  <si>
    <t>LIQUEFIED_PETRO_GAS_LPG_USED</t>
  </si>
  <si>
    <t>Propane Used</t>
  </si>
  <si>
    <t>PROPANE_USED</t>
  </si>
  <si>
    <t>Percentage Renewable Energy Consumed</t>
  </si>
  <si>
    <t>PCT_RENEWABLE_ENERGY_CONSMD</t>
  </si>
  <si>
    <t>Grid Electricity Used</t>
  </si>
  <si>
    <t>GRID_ELECTRICITY_USED</t>
  </si>
  <si>
    <t>Total Water Use</t>
  </si>
  <si>
    <t>TOTAL_WATER_USE</t>
  </si>
  <si>
    <t>Water Discharged</t>
  </si>
  <si>
    <t>Water Consumption Derived</t>
  </si>
  <si>
    <t>TOTL_WATER_CONSMPTN</t>
  </si>
  <si>
    <t>Total Water Recycled</t>
  </si>
  <si>
    <t>TOTAL_WATER_RECYCLED</t>
  </si>
  <si>
    <t>Percent Water Recycled Derived</t>
  </si>
  <si>
    <t>PCT_WATER_RECYCL_PER_TOTL_USED</t>
  </si>
  <si>
    <t>Municipal Water</t>
  </si>
  <si>
    <t>MUNICIPAL_WATER_USE</t>
  </si>
  <si>
    <t>Groundwater Withdrawals</t>
  </si>
  <si>
    <t>GROUNDWATER_WITHDRAWALS</t>
  </si>
  <si>
    <t>Surface Water Withdrawal</t>
  </si>
  <si>
    <t>SURFACE_WATER_WITHDRAWALS</t>
  </si>
  <si>
    <t>Freshwater Withdrawals</t>
  </si>
  <si>
    <t>FRESHWATER_WITHDRAWALS</t>
  </si>
  <si>
    <t>Water Stress Exposure %</t>
  </si>
  <si>
    <t>WATER_STRESS_EXPOSURE_PCT</t>
  </si>
  <si>
    <t>Waste Management</t>
  </si>
  <si>
    <t>Amount of Waste Composted</t>
  </si>
  <si>
    <t>AMT_WASTE_COMPOSTED</t>
  </si>
  <si>
    <t>Electronic Waste</t>
  </si>
  <si>
    <t>E_WASTE</t>
  </si>
  <si>
    <t>Waste Used for Energy</t>
  </si>
  <si>
    <t>WASTE_USED_ENERGY</t>
  </si>
  <si>
    <t>Material</t>
  </si>
  <si>
    <t>Spills</t>
  </si>
  <si>
    <t>Number of Significant Spills</t>
  </si>
  <si>
    <t>NUMBER_SIGNIFICANT_SPILLS</t>
  </si>
  <si>
    <t>Amount of Significant Spills</t>
  </si>
  <si>
    <t>AMOUNT_SIGNIF_SPILLS</t>
  </si>
  <si>
    <t>Environmental Fines</t>
  </si>
  <si>
    <t>Number of Significant Environmental Fines</t>
  </si>
  <si>
    <t>NUM_SIGNIF_ENVIRONMENTAL_FINES</t>
  </si>
  <si>
    <t>Amount of Significant Environmental Fines</t>
  </si>
  <si>
    <t>AMOUNT_OF_SIGNFCNT_ENV_FINES</t>
  </si>
  <si>
    <t>Investments/Costs</t>
  </si>
  <si>
    <t>Certified Sites</t>
  </si>
  <si>
    <t>Number of Sites</t>
  </si>
  <si>
    <t>NUMBER_OF_SITES</t>
  </si>
  <si>
    <t>ISO 14001 Certified Sites</t>
  </si>
  <si>
    <t>ISO_14001_SITES</t>
  </si>
  <si>
    <t>Pct Sites Certified</t>
  </si>
  <si>
    <t>PCT_SITES_CERTIFIED</t>
  </si>
  <si>
    <t>Operational Policy</t>
  </si>
  <si>
    <t>Renewable Electricity Target Policy</t>
  </si>
  <si>
    <t>RENEWABLE_ELECTRICITY_TARGET_POL</t>
  </si>
  <si>
    <t>Environmental Quality Management Policy</t>
  </si>
  <si>
    <t>ENVIRON_QUAL_MGT</t>
  </si>
  <si>
    <t>Green Building Policy</t>
  </si>
  <si>
    <t>GREEN_BUILDING</t>
  </si>
  <si>
    <t>Sustainable Packaging</t>
  </si>
  <si>
    <t>SUSTAIN_PACKAGING</t>
  </si>
  <si>
    <t>New Products - Climate Change</t>
  </si>
  <si>
    <t>CLIMATE_CHG_PRODS</t>
  </si>
  <si>
    <t>Internal Carbon Pricing</t>
  </si>
  <si>
    <t>INTERNAL_CARBON_PRICING</t>
  </si>
  <si>
    <t>Product Lifecycle Design</t>
  </si>
  <si>
    <t>PRODUCT_LIFECYCLE_DESIGN</t>
  </si>
  <si>
    <t>Customer Efficiency Initiatives</t>
  </si>
  <si>
    <t>CUSTOMER_EFFICIENCY_INITIATIVES</t>
  </si>
  <si>
    <t>Biodiversity</t>
  </si>
  <si>
    <t>Commitment to External Biodiv Rel Initiatives</t>
  </si>
  <si>
    <t>COMMIT_EX_BIODIV_REL_INITITV</t>
  </si>
  <si>
    <t>Biodiversity Risks and Opportunities Discussed</t>
  </si>
  <si>
    <t>BIODIV_RISKS_OPP_DISCUSSED</t>
  </si>
  <si>
    <t>Impact of Comp Value Chain on Biodiv Assessed</t>
  </si>
  <si>
    <t>IMP_COMP_VAL_CHN_BIODIV_ASSD</t>
  </si>
  <si>
    <t>Celestica Inc (CLS CN) - Social</t>
  </si>
  <si>
    <t>Employees</t>
  </si>
  <si>
    <t>Number of Temporary Employees</t>
  </si>
  <si>
    <t>NUMBER_OF_TEMPORARY_EMPLOYEES</t>
  </si>
  <si>
    <t>Voluntary Turnover Pct</t>
  </si>
  <si>
    <t>VOLUNTARY_TURNOVER_PCT</t>
  </si>
  <si>
    <t>Involuntary Turnover Pct</t>
  </si>
  <si>
    <t>INVOLUNTARY_TURNOVER_PCT</t>
  </si>
  <si>
    <t>Employee Diversity</t>
  </si>
  <si>
    <t>CDO or Equivalent Executive</t>
  </si>
  <si>
    <t>HAS_CDO_OR_EQUIVALENT_EXECUTIVE</t>
  </si>
  <si>
    <t>% Women in Mgt</t>
  </si>
  <si>
    <t>% Women of New Hires</t>
  </si>
  <si>
    <t>PCT_WOMEN_NEW_HIRES</t>
  </si>
  <si>
    <t>% Women of Employee Exits</t>
  </si>
  <si>
    <t>PCT_WOMEN_ATTRITION</t>
  </si>
  <si>
    <t>Published United States EEO-1 Data</t>
  </si>
  <si>
    <t>PUBLISHED_US_EEO_1_DATA</t>
  </si>
  <si>
    <t>Inclusive Culture</t>
  </si>
  <si>
    <t>Back-Up Family Care Services Indicator</t>
  </si>
  <si>
    <t>BACK_UP_FAMILY_CARE_SVCS_IND</t>
  </si>
  <si>
    <t>Flexible Working Policy Indicator</t>
  </si>
  <si>
    <t>FLEXIBLE_WORKING_POLICY_IND</t>
  </si>
  <si>
    <t>Female Leadership Action Plan</t>
  </si>
  <si>
    <t>FEMLE_LEADRSHP_ACTN_PLAN</t>
  </si>
  <si>
    <t>Employee Groups for Women</t>
  </si>
  <si>
    <t>HAS_EMPLOYEE_GROUPS_WOMEN</t>
  </si>
  <si>
    <t>Timed Target to Increase Women's Represntn Ind</t>
  </si>
  <si>
    <t>TIMED_TGT_INCR_WOMEN_REP_IND</t>
  </si>
  <si>
    <t>Gender Pay Gap</t>
  </si>
  <si>
    <t>Action Plan to Close Gender Pay Gap</t>
  </si>
  <si>
    <t>GENDR_PAY_GAP_ACTN_PLAN</t>
  </si>
  <si>
    <t>Employee Training</t>
  </si>
  <si>
    <t>Annual Sexual Harassment Training</t>
  </si>
  <si>
    <t>ANNL_SEXL_HARSSMNT_TRAINNG</t>
  </si>
  <si>
    <t>Unconscious Bias Training For All Employees</t>
  </si>
  <si>
    <t>UNCONSC_BIAS_TRAIN_ALL_EMPL</t>
  </si>
  <si>
    <t>Safety</t>
  </si>
  <si>
    <t>Fatalities - Third Party</t>
  </si>
  <si>
    <t>FATALITIES_THIRD_PARTY</t>
  </si>
  <si>
    <t>Sustain Sup Guidelines Encomp ESG Area Pub Disclsd</t>
  </si>
  <si>
    <t>SUS_SUP_GDL_ENC_ESG_AREA_PUB_DIS</t>
  </si>
  <si>
    <t>Human Rights &amp; Modern Slavery</t>
  </si>
  <si>
    <t>Human Rights Due Diligence Process</t>
  </si>
  <si>
    <t>HUMAN_RIGHTS_DUE_DIL_PROC</t>
  </si>
  <si>
    <t>Human Rights Remediation Process</t>
  </si>
  <si>
    <t>HUMN_RIGHTS_REMEDITN_PROCESS</t>
  </si>
  <si>
    <t>Modern Slavery Statement</t>
  </si>
  <si>
    <t>MODERN_SLAVERY_STATEMENT</t>
  </si>
  <si>
    <t>Supply Chain Modern Slavery Assessment</t>
  </si>
  <si>
    <t>SPPLY_CHN_MODRN_SLVRY_ASSMNT</t>
  </si>
  <si>
    <t>Number of Customers Affected By Data Breaches</t>
  </si>
  <si>
    <t>NUM_CSTM_AFFECTED_BY_BREACH</t>
  </si>
  <si>
    <t>Pct Data Breaches Personal Id Info</t>
  </si>
  <si>
    <t>PCT_DATA_BREACH_PERS_ID_INFO</t>
  </si>
  <si>
    <t>Political Donations($)</t>
  </si>
  <si>
    <t>Has Issued Recall Due to Serious Illness/Injury and/or Fatality? (Y/N)</t>
  </si>
  <si>
    <t>ISSD_RCL_DUE_SRS_ILNS_INJ_FTLTY</t>
  </si>
  <si>
    <t>Policy</t>
  </si>
  <si>
    <t>Employee Protection / Whistle Blower Policy</t>
  </si>
  <si>
    <t>EMP_PROT_WHISTLE_BLOWER_POLICY</t>
  </si>
  <si>
    <t>Intellectual Property Rights Protection Policy</t>
  </si>
  <si>
    <t>INTELLECTUAL_PPTY_RGHTS_PROT_POL</t>
  </si>
  <si>
    <t>Community Engagement Policy</t>
  </si>
  <si>
    <t>COMMUNITY_ENGAGEMENT_POLICY</t>
  </si>
  <si>
    <t>Access and Affordability Policy</t>
  </si>
  <si>
    <t>ACCESS_AND_AFFORDABILITY_POL</t>
  </si>
  <si>
    <t>Political Involvement Policy</t>
  </si>
  <si>
    <t>POLITICAL_INVOLVEMENT_POLICY</t>
  </si>
  <si>
    <t>Anti - Competition Policy</t>
  </si>
  <si>
    <t>ANTI_COMPETITION_POLICY</t>
  </si>
  <si>
    <t>Product Data Security Policy</t>
  </si>
  <si>
    <t>PRODUCT_DATA_SECURITY_POLICY</t>
  </si>
  <si>
    <t>Sustainable Development Goals Target Policy</t>
  </si>
  <si>
    <t>SUSTAIN_DEV_GOALS_TGT_POL</t>
  </si>
  <si>
    <t>Framework Engagement</t>
  </si>
  <si>
    <t>UN Global Compact Signatory</t>
  </si>
  <si>
    <t>UN_GLOBAL_COMPACT_SIGNATORY</t>
  </si>
  <si>
    <t>SDGs Target Policy</t>
  </si>
  <si>
    <t>PRI Signatory</t>
  </si>
  <si>
    <t>UN_PRI_SIGNATORY</t>
  </si>
  <si>
    <t>Black Economic Empowerment (BEE)</t>
  </si>
  <si>
    <t>Fines</t>
  </si>
  <si>
    <t>Number of Fines for Anti - Competition</t>
  </si>
  <si>
    <t>NUMBER_FINES_ANTI_COMPETITION</t>
  </si>
  <si>
    <t>Amount of Anti - Competition Fines</t>
  </si>
  <si>
    <t>AMOUNT_ANTI_COMPETITION_FINES</t>
  </si>
  <si>
    <t>Number of Fines For Bribery And Corruption</t>
  </si>
  <si>
    <t>NUMBER_FINES_BRIBERY_AND_CORRUPT</t>
  </si>
  <si>
    <t>Amount Of Fines For Bribery And Corruption</t>
  </si>
  <si>
    <t>AMOUNT_FINES_BRIBERY_AND_CORRUPT</t>
  </si>
  <si>
    <t>Number of Fines For Data Breaches</t>
  </si>
  <si>
    <t>NUMBER_FINES_DATA_BREACHES</t>
  </si>
  <si>
    <t>Amount of Fines For Data Breaches</t>
  </si>
  <si>
    <t>AMOUNT_FINES_DATA_BREACHES</t>
  </si>
  <si>
    <t>Celestica Inc (CLS CN) - Governance</t>
  </si>
  <si>
    <t>Board Structure</t>
  </si>
  <si>
    <t>Unitary or Two Tier Board System</t>
  </si>
  <si>
    <t>UNITARY_OR_TWO_TIER_BOARD_SYSTEM</t>
  </si>
  <si>
    <t># Employee Representatives on Board</t>
  </si>
  <si>
    <t>NUM_EMP_REPRESENTATIVES_BRD</t>
  </si>
  <si>
    <t>Classified Board System</t>
  </si>
  <si>
    <t>CLASSIFIED_BOARD_SYSTEM</t>
  </si>
  <si>
    <t>Board Independence</t>
  </si>
  <si>
    <t># Non Exec Dir on Board</t>
  </si>
  <si>
    <t>% Non Exec Dir on Board</t>
  </si>
  <si>
    <t>PCT_OF_NON_EXEC_DIR_ON_BRD</t>
  </si>
  <si>
    <t># Independent Directors</t>
  </si>
  <si>
    <t>% Independent Directors</t>
  </si>
  <si>
    <t>PCT_INDEPENDENT_DIRECTORS</t>
  </si>
  <si>
    <t>CEO Duality</t>
  </si>
  <si>
    <t>CEO_DUALITY</t>
  </si>
  <si>
    <t>Independent Chairperson</t>
  </si>
  <si>
    <t>INDEPENDENT_CHAIRPERSON</t>
  </si>
  <si>
    <t>Independent Lead Director</t>
  </si>
  <si>
    <t>INDEPENDENT_LEAD_DIRECTOR</t>
  </si>
  <si>
    <t>Presiding Director</t>
  </si>
  <si>
    <t>PRESIDING_DIRECTOR</t>
  </si>
  <si>
    <t>Former CEO or its Equivalent on Board</t>
  </si>
  <si>
    <t>FORMER_CEO_OR_ITS_EQUIV_ON_BRD</t>
  </si>
  <si>
    <t>Board &amp; Exec Diversity</t>
  </si>
  <si>
    <t># Women on Board</t>
  </si>
  <si>
    <t>% Women on Board</t>
  </si>
  <si>
    <t>PCT_WOMEN_ON_BOARD</t>
  </si>
  <si>
    <t>Female Chief Executive Officer or Equivalent</t>
  </si>
  <si>
    <t>FEMALE_CEO_OR_EQUIVALENT</t>
  </si>
  <si>
    <t>Female Chairperson or Equivalent</t>
  </si>
  <si>
    <t>FEMALE_CHAIRPERSON_OR_EQUIVALENT</t>
  </si>
  <si>
    <t># Executives / Company Mgrs</t>
  </si>
  <si>
    <t>CEO or Equivalent Appointed from Within</t>
  </si>
  <si>
    <t>CEO_OR_EQUIV_APPT_FROM_WITHIN</t>
  </si>
  <si>
    <t># Female Executives</t>
  </si>
  <si>
    <t>% Female Executives</t>
  </si>
  <si>
    <t>PERCENTAGE_OF_FEMALE_EXECUTIVES</t>
  </si>
  <si>
    <t>Board of Directors Age Range</t>
  </si>
  <si>
    <t>BOARD_OF_DIRECTORS_AGE_RANGE</t>
  </si>
  <si>
    <t>Board Average Age</t>
  </si>
  <si>
    <t>BOARD_AVERAGE_AGE</t>
  </si>
  <si>
    <t>Board Diversity Percentage</t>
  </si>
  <si>
    <t>BOARD_DIVERSITY_PCT</t>
  </si>
  <si>
    <t>Board Diversity Breakout Code</t>
  </si>
  <si>
    <t>BOARD_DIVERSITY_BREAKOUT_CODE</t>
  </si>
  <si>
    <t>Board Diversity Count</t>
  </si>
  <si>
    <t>BOARD_DIVERSITY_COUNT</t>
  </si>
  <si>
    <t>Board Meetings</t>
  </si>
  <si>
    <t># Board Meetings</t>
  </si>
  <si>
    <t>Board Meeting Attendance %</t>
  </si>
  <si>
    <t>Independent Directors Board Meeting Attendance %</t>
  </si>
  <si>
    <t>IND_DIRECTORS_BRD_MTG_ATTEND_PCT</t>
  </si>
  <si>
    <t># Dir Attending Less than 75% of Mtgs</t>
  </si>
  <si>
    <t>NUM_DIR_ATTEND_LT_75_PCT_MTG</t>
  </si>
  <si>
    <t>Audit Committee</t>
  </si>
  <si>
    <t># Independent Dir on Audit Cmte</t>
  </si>
  <si>
    <t>% Independent Dir on Audit Cmte</t>
  </si>
  <si>
    <t>PCT_IND_DIRECTORS_ON_AUDIT_CMTE</t>
  </si>
  <si>
    <t>Independent Audit Committee Chairperson</t>
  </si>
  <si>
    <t>IND_AUDIT_COMMITTEE_CHAIRPERSON</t>
  </si>
  <si>
    <t># Non Exec Dir on Audit Cmte</t>
  </si>
  <si>
    <t>NUM_OF_NON_EXEC_DIR_ON_AUD_CMTE</t>
  </si>
  <si>
    <t>Compensation Committee</t>
  </si>
  <si>
    <t># Independent Dir on Comp Cmte</t>
  </si>
  <si>
    <t>% Independent Dir on Comp Cmte</t>
  </si>
  <si>
    <t>PCT_IND_DIRECTORS_ON_COMP_CMTE</t>
  </si>
  <si>
    <t>Independent Compensation Committee Chairperson</t>
  </si>
  <si>
    <t>IND_COMP_CMTE_CHAIRPERSON</t>
  </si>
  <si>
    <t># Non Exec Dir on Comp Cmte</t>
  </si>
  <si>
    <t>NUM_OF_N_EXEC_DIR_ON_COMP_CMTE</t>
  </si>
  <si>
    <t># Comp Committee Meetings</t>
  </si>
  <si>
    <t>Outside Compensation Advisors Appointed</t>
  </si>
  <si>
    <t>OUTSIDE_COMP_ADVISORS_APPT</t>
  </si>
  <si>
    <t>Executive Compensation Consultant Srvcs Provided</t>
  </si>
  <si>
    <t>EXEC_COM_CONSULTANT_SVC_PROVIDED</t>
  </si>
  <si>
    <t>Fees Paid to Compensation Consultants</t>
  </si>
  <si>
    <t>FEES_PD_TO_COMP_CONSULTANTS</t>
  </si>
  <si>
    <t>Executive Comp Advisory Fees Pd to Comp Adv</t>
  </si>
  <si>
    <t>EXEC_COMP_ADV_FEES_PD_TO_COM_ADV</t>
  </si>
  <si>
    <t>Pct of Compensation Advisory Fees Paid to Comp Adv</t>
  </si>
  <si>
    <t>PCT_COMP_ADV_FEES_PD_TO_COM_ADV</t>
  </si>
  <si>
    <t>Nomination Committee</t>
  </si>
  <si>
    <t># Independent Dir on Nom Cmte</t>
  </si>
  <si>
    <t>Pct of Ind Directors on Nomination Committee</t>
  </si>
  <si>
    <t>PCT_OF_IND_DIRECTORS_ON_NOM_CMTE</t>
  </si>
  <si>
    <t>Independent Nomination Committee Chairperson</t>
  </si>
  <si>
    <t>IND_NOMINATION_CMTE_CHAIRPERSON</t>
  </si>
  <si>
    <t># Non Exec Dir on Nom Cmte</t>
  </si>
  <si>
    <t>NUM_OF_NON_EXEC_DIR_ON_NOM_CMTE</t>
  </si>
  <si>
    <t># Nom Cmte Meetings</t>
  </si>
  <si>
    <t>CSR/Sustainability Committee</t>
  </si>
  <si>
    <t>CSR_SUSTAINABILITY_COMMITTEE</t>
  </si>
  <si>
    <t>Size of CSR Sustainability Committee</t>
  </si>
  <si>
    <t>SIZE_OF_CSR_SUSTAIN_COMMTTEE</t>
  </si>
  <si>
    <t>Num Independent Directors on CSR Committee</t>
  </si>
  <si>
    <t>NUM_OF_INDEP_DIR_ON_CSR_CMTE</t>
  </si>
  <si>
    <t>Pct Independent Directors on CSR Committee</t>
  </si>
  <si>
    <t>PCT_OF_INDEP_DIR_ON_CSR_CMTE</t>
  </si>
  <si>
    <t>CSR Committee Chairperson Independent</t>
  </si>
  <si>
    <t>CSR_CMTE_CHRPRSN_INDEP</t>
  </si>
  <si>
    <t>Num of Non Exec Directors on CSR Committee</t>
  </si>
  <si>
    <t>NUM_OF_NONEXEC_DIR_CSR_CMTE</t>
  </si>
  <si>
    <t>Number of CSR Sustainability Committee Meetings</t>
  </si>
  <si>
    <t>NUM_OF_CSR_SUSTAIN_CMTE_MTGS</t>
  </si>
  <si>
    <t>Percent of CSR Sustainability Committee Attendance</t>
  </si>
  <si>
    <t>PCT_CSR_SUSTAIN_CMTE_ATTEND</t>
  </si>
  <si>
    <t>Board &amp; Exec Activities</t>
  </si>
  <si>
    <t>Non-Executive Director with Responsibility for CSR</t>
  </si>
  <si>
    <t>NONEXEC_DIR_WITH_RESPONS_FOR_CSR</t>
  </si>
  <si>
    <t>Executive Director with Responsibility for CSR</t>
  </si>
  <si>
    <t>EXEC_DIR_WITH_RESPONS_FOR_CSR</t>
  </si>
  <si>
    <t>Executive Compensation Linked to ESG</t>
  </si>
  <si>
    <t>ESG_LINKED_BONUS</t>
  </si>
  <si>
    <t>Executive Compensation Linked to Climate</t>
  </si>
  <si>
    <t>EXCTVE_COMPNSTN_LINKD_CLIMTE</t>
  </si>
  <si>
    <t>ESG Linked Compensation for Board</t>
  </si>
  <si>
    <t>ESG_LINKED_COMPENSATION_FOR_BRD</t>
  </si>
  <si>
    <t>Clawback Provision for Executive Compensation</t>
  </si>
  <si>
    <t>CLAWBACK_PROVISION_FOR_EXEC_COMP</t>
  </si>
  <si>
    <t>Chg of Ctrl Benefits/Golden Parachute Agreements</t>
  </si>
  <si>
    <t>CHG_OF_CTRL_BFIT_GOLD_CHUTE_AGR</t>
  </si>
  <si>
    <t>Comp Discloses CEO or Equivalent Pay Ratio Flg</t>
  </si>
  <si>
    <t>COMP_DISC_CEO_PAY_RATIO_FLG</t>
  </si>
  <si>
    <t>Tax Compliance</t>
  </si>
  <si>
    <t>Global Tax Strategy</t>
  </si>
  <si>
    <t>GLOBAL_TAX_STRATEGY</t>
  </si>
  <si>
    <t>Governance Body Responsible for Compliance</t>
  </si>
  <si>
    <t>GOV_BODY_RESPNSBL_FOR_CMPLNC</t>
  </si>
  <si>
    <t>Tax Disclosed in Jurisdiction of Incorporation</t>
  </si>
  <si>
    <t>TAX_DISC_JURSDCTN_OF_INC</t>
  </si>
  <si>
    <t>Tax Disclosed in Each Key Jurisdiction</t>
  </si>
  <si>
    <t>TAX_DISC_EACH_KEY_JURSDCTN</t>
  </si>
  <si>
    <t>Tax Risk Integrated Into Risk Managemnt System</t>
  </si>
  <si>
    <t>TAX_RSK_INT_INTO_RSK_MGM_SYS</t>
  </si>
  <si>
    <t>Shareholder Rights</t>
  </si>
  <si>
    <t>Poison Pill Plan</t>
  </si>
  <si>
    <t>POISON_PILL_PLAN</t>
  </si>
  <si>
    <t>Shareholder Approved Poison Pill</t>
  </si>
  <si>
    <t>SHAREHOLDER_APPROVED_POISON_PILL</t>
  </si>
  <si>
    <t>Poison Pill TIDE Provision</t>
  </si>
  <si>
    <t>POISON_PILL_TIDE_PROVISION</t>
  </si>
  <si>
    <t>Poison Pill Sunset Provision</t>
  </si>
  <si>
    <t>POISON_PILL_SUNSET_PROVISION</t>
  </si>
  <si>
    <t>Controlled Company</t>
  </si>
  <si>
    <t>CONTROLLED_COMPANY</t>
  </si>
  <si>
    <t>Cumulative Voting System</t>
  </si>
  <si>
    <t>CUMULATIVE_VOTING_SYSTEM</t>
  </si>
  <si>
    <t>Blank Check Preferred Authorized</t>
  </si>
  <si>
    <t>BLANK_CHECK_PREFERRED_AUTHORIZED</t>
  </si>
  <si>
    <t>Dual Class Unequal Voting Rights - Common</t>
  </si>
  <si>
    <t>DUAL_CLASS_UNEQUAL_VTG_RTS</t>
  </si>
  <si>
    <t>Director Election Vote Policy</t>
  </si>
  <si>
    <t>DIRECTOR_ELECTION_VOTE_POLICY</t>
  </si>
  <si>
    <t>Proxy Access Policy</t>
  </si>
  <si>
    <t>COMPANY_HAS_PROXY_ACCESS_POLICY</t>
  </si>
  <si>
    <t>Executive Director Board Duration</t>
  </si>
  <si>
    <t>EXECUTIVE_DIRECTOR_BOARD_DUR</t>
  </si>
  <si>
    <t>AGM Voting Results</t>
  </si>
  <si>
    <t>Say On Pay Provision</t>
  </si>
  <si>
    <t>SAY_ON_PAY_PROVISION</t>
  </si>
  <si>
    <t>Frequency of Say on Pay Votes</t>
  </si>
  <si>
    <t>FREQUENCY_OF_SAY_ON_PAY_VOTES</t>
  </si>
  <si>
    <t>Say on Pay Support Level</t>
  </si>
  <si>
    <t>SAY_PAY_SUPPORT_LEVEL</t>
  </si>
  <si>
    <t>Say on Pay Number of Votes FOR</t>
  </si>
  <si>
    <t>SAY_PAY_NUMBER_OF_VOTES_FOR</t>
  </si>
  <si>
    <t>Say on Pay Number of Votes AGAINST</t>
  </si>
  <si>
    <t>SAY_PAY_NUMBER_OF_VOTES_AGAINST</t>
  </si>
  <si>
    <t>Auditor Ratification</t>
  </si>
  <si>
    <t>AUDITOR_RATIFICATION</t>
  </si>
  <si>
    <t>Auditor Ratification Support Level</t>
  </si>
  <si>
    <t>AUDITOR_RATIFICATION_SUP_LEVL</t>
  </si>
  <si>
    <t>Auditor Ratification Number of Votes - FOR</t>
  </si>
  <si>
    <t>AUDITOR_RATIFICATION_NUM_VOTES</t>
  </si>
  <si>
    <t>Auditor Ratification Number of Votes - AGAINST</t>
  </si>
  <si>
    <t>AUDITOR_RATIF_NUM_VOTES_AGA</t>
  </si>
  <si>
    <t>Director Compensation</t>
  </si>
  <si>
    <t>Celestica Inc (CLS CN) - Exec &amp; Dir Comp</t>
  </si>
  <si>
    <t>FY 2006</t>
  </si>
  <si>
    <t>12/31/2006</t>
  </si>
  <si>
    <t>Executive Compensation</t>
  </si>
  <si>
    <t>Total Compensation Paid</t>
  </si>
  <si>
    <t>TOT_COMPENSATION_AW_TO_EXECS</t>
  </si>
  <si>
    <t>Total Salaries and Bonuses Paid</t>
  </si>
  <si>
    <t>TOT_SALARIES_BNS_PD_TO_EXECS</t>
  </si>
  <si>
    <t xml:space="preserve">  Non Equity Incentives Granted</t>
  </si>
  <si>
    <t>TOT_N_EQTY_INCENT_GIVEN_TO_EXECS</t>
  </si>
  <si>
    <t xml:space="preserve">  Total Salaries Paid</t>
  </si>
  <si>
    <t>TOT_SALARIES_PAID_TO_EXECUTIVES</t>
  </si>
  <si>
    <t xml:space="preserve">  Total Bonuses Paid</t>
  </si>
  <si>
    <t>TOTAL_BONUSES_PAID_TO_EXECUTIVES</t>
  </si>
  <si>
    <t>All Other Compensation Paid</t>
  </si>
  <si>
    <t>ALL_OTHER_COMP_AW_TO_EXECS</t>
  </si>
  <si>
    <t xml:space="preserve">  Stock Awards Granted</t>
  </si>
  <si>
    <t>TOT_STK_AWARDS_GIVEN_TO_EXECS</t>
  </si>
  <si>
    <t xml:space="preserve">  Option Awards Granted</t>
  </si>
  <si>
    <t>TOT_OPTION_AWARDS_GIVEN_TO_EXECS</t>
  </si>
  <si>
    <t xml:space="preserve">  Pension &amp; Nonqual Defined Pension</t>
  </si>
  <si>
    <t>T_PEN_NQ_DEF_PEN_GVN_TO_EXECS</t>
  </si>
  <si>
    <t xml:space="preserve">  Total Other Compensation Paid</t>
  </si>
  <si>
    <t>TOT_OTHER_COMP_AW_TO_EXECS</t>
  </si>
  <si>
    <t># of Exec Changes in Fiscal Year</t>
  </si>
  <si>
    <t>NUM_EXECUTIVE_CHANGES</t>
  </si>
  <si>
    <t>Date of Last Executive Change</t>
  </si>
  <si>
    <t>DATE_OF_LAST_EXECUTIVE_CHANGE</t>
  </si>
  <si>
    <t>04/01/2007</t>
  </si>
  <si>
    <t>03/24/2011</t>
  </si>
  <si>
    <t>12/28/2012</t>
  </si>
  <si>
    <t>12/06/2012</t>
  </si>
  <si>
    <t>07/31/2017</t>
  </si>
  <si>
    <t>01/04/2018</t>
  </si>
  <si>
    <t>01/10/2019</t>
  </si>
  <si>
    <t>01/01/2022</t>
  </si>
  <si>
    <t># Execs Included in Compensation</t>
  </si>
  <si>
    <t>NUM_EXECS_INC_IN_COMPENSATION_PD</t>
  </si>
  <si>
    <t>CEO</t>
  </si>
  <si>
    <t>TOT_COMP_AW_TO_CEO_EQUIV</t>
  </si>
  <si>
    <t>TOT_SAL_BNS_AW_TO_CEO_EQUIV</t>
  </si>
  <si>
    <t>TOT_N_EQT_INCENT_GVN_TO_CEO_EQ</t>
  </si>
  <si>
    <t>TOT_SALARIES_PAID_TO_CEO_EQUIV</t>
  </si>
  <si>
    <t>TOT_BONUSES_PAID_TO_CEO_EQUIV</t>
  </si>
  <si>
    <t>ALL_OTHER_COMP_AW_TO_CEO_EQUIV</t>
  </si>
  <si>
    <t>TOT_STK_AWD_GIVEN_TO_CEO_EQUIV</t>
  </si>
  <si>
    <t>TOT_OPT_AWD_GIVEN_TO_CEO_EQUIV</t>
  </si>
  <si>
    <t>T_PEN_NQ_DEF_PEN_GVN_CEO_EQ</t>
  </si>
  <si>
    <t>TOT_OTHER_COMP_AW_TO_CEO_EQUIV</t>
  </si>
  <si>
    <t># of CEO and Equiv Changes in FY</t>
  </si>
  <si>
    <t>NUM_CEO_EQUIVALENT_CHANGES</t>
  </si>
  <si>
    <t>Date of Last CEO and Equiv Change</t>
  </si>
  <si>
    <t>COMP_LKD_LAST_CEO_&amp;_EQUIV_CHG_DT</t>
  </si>
  <si>
    <t>11/28/2006</t>
  </si>
  <si>
    <t>01/01/2007</t>
  </si>
  <si>
    <t>08/01/2015</t>
  </si>
  <si>
    <t># CEO and Equiv Included in Comp</t>
  </si>
  <si>
    <t>NUM_CEOS_EQUIV_INC_COMP_PD</t>
  </si>
  <si>
    <t>CEO Tenure at Fiscal Year End</t>
  </si>
  <si>
    <t>CEO_TENURE_AS_OF_FY_END</t>
  </si>
  <si>
    <t>Other C-Suite</t>
  </si>
  <si>
    <t>Total Comp Paid to CFO and Equiv</t>
  </si>
  <si>
    <t>TOT_COMP_AW_TO_CFO_EQUIV</t>
  </si>
  <si>
    <t>Total Comp Paid to COO and Equiv</t>
  </si>
  <si>
    <t>TOT_COMP_AW_TO_COO_EQUIV</t>
  </si>
  <si>
    <t>Board Compensation</t>
  </si>
  <si>
    <t>TOTAL_BOD_COMPENSATION_AWARDED</t>
  </si>
  <si>
    <t xml:space="preserve">  Fees Paid in Cash</t>
  </si>
  <si>
    <t>TOTAL_BOD_FEES_PAID_IN_CASH</t>
  </si>
  <si>
    <t>TOTAL_BOD_STOCK_AWARDS_GIVEN</t>
  </si>
  <si>
    <t># of Board Changes in Fiscal Year</t>
  </si>
  <si>
    <t>NUMBER_OF_BOD_CHANGES_DURING_FY</t>
  </si>
  <si>
    <t>Date of Last Board Change</t>
  </si>
  <si>
    <t>DATE_OF_LAST_BOD_CHANGE</t>
  </si>
  <si>
    <t>01/31/2004</t>
  </si>
  <si>
    <t>04/24/2008</t>
  </si>
  <si>
    <t>04/23/2009</t>
  </si>
  <si>
    <t>11/17/2010</t>
  </si>
  <si>
    <t>10/19/2011</t>
  </si>
  <si>
    <t>04/30/2012</t>
  </si>
  <si>
    <t>10/21/2013</t>
  </si>
  <si>
    <t>11/01/2016</t>
  </si>
  <si>
    <t>11/01/2017</t>
  </si>
  <si>
    <t>04/27/2018</t>
  </si>
  <si>
    <t>01/29/2020</t>
  </si>
  <si>
    <t>08/31/2021</t>
  </si>
  <si>
    <t>12/01/2022</t>
  </si>
  <si>
    <t>09/06/2023</t>
  </si>
  <si>
    <t># Directors Included in Comp</t>
  </si>
  <si>
    <t>NUM_DIR_INC_IN_CMPNSTN_PD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</si>
</sst>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79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0" fontId="7" fillId="33" borderId="16">
      <alignment horizontal="centerContinuous"/>
    </xf>
    <xf numFmtId="0" fontId="7" fillId="33" borderId="17">
      <alignment horizontal="centerContinuous"/>
    </xf>
    <xf numFmtId="164" fontId="1" fillId="34" borderId="18">
      <alignment horizontal="right"/>
    </xf>
    <xf numFmtId="165" fontId="1" fillId="34" borderId="19">
      <alignment horizontal="right"/>
    </xf>
    <xf numFmtId="4" fontId="1" fillId="34" borderId="18">
      <alignment horizontal="right"/>
    </xf>
    <xf numFmtId="10" fontId="1" fillId="34" borderId="19">
      <alignment horizontal="right"/>
    </xf>
    <xf numFmtId="164" fontId="8" fillId="34" borderId="18">
      <alignment horizontal="right"/>
    </xf>
    <xf numFmtId="165" fontId="8" fillId="34" borderId="19">
      <alignment horizontal="right"/>
    </xf>
    <xf numFmtId="4" fontId="8" fillId="34" borderId="18">
      <alignment horizontal="right"/>
    </xf>
    <xf numFmtId="10" fontId="8" fillId="34" borderId="19">
      <alignment horizontal="right"/>
    </xf>
  </cellStyleXfs>
  <cellXfs count="40">
    <xf numFmtId="0" fontId="0" fillId="0" borderId="0" xfId="0"/>
    <xf numFmtId="0" fontId="2" fillId="33" borderId="0" xfId="26"/>
    <xf numFmtId="0" fontId="6" fillId="34" borderId="0" xfId="31">
      <alignment horizontal="center"/>
    </xf>
    <xf numFmtId="0" fontId="7" fillId="33" borderId="3" xfId="33">
      <alignment horizontal="left"/>
    </xf>
    <xf numFmtId="0" fontId="7" fillId="33" borderId="3" xfId="32">
      <alignment horizontal="right"/>
    </xf>
    <xf numFmtId="0" fontId="7" fillId="33" borderId="1" xfId="30">
      <alignment horizontal="right"/>
    </xf>
    <xf numFmtId="0" fontId="8" fillId="34" borderId="5" xfId="35"/>
    <xf numFmtId="0" fontId="11" fillId="36" borderId="4" xfId="34"/>
    <xf numFmtId="0" fontId="5" fillId="33" borderId="15" xfId="51">
      <alignment horizontal="left" vertical="center" readingOrder="1"/>
    </xf>
    <xf numFmtId="0" fontId="7" fillId="33" borderId="1" xfId="52">
      <alignment horizontal="left"/>
    </xf>
    <xf numFmtId="0" fontId="3" fillId="34" borderId="5" xfId="37" applyFont="1"/>
    <xf numFmtId="0" fontId="4" fillId="34" borderId="5" xfId="36" applyFont="1"/>
    <xf numFmtId="3" fontId="1" fillId="34" borderId="2" xfId="53">
      <alignment horizontal="right"/>
    </xf>
    <xf numFmtId="164" fontId="1" fillId="34" borderId="2" xfId="54">
      <alignment horizontal="right"/>
    </xf>
    <xf numFmtId="4" fontId="1" fillId="34" borderId="2" xfId="55">
      <alignment horizontal="right"/>
    </xf>
    <xf numFmtId="3" fontId="1" fillId="35" borderId="2" xfId="56">
      <alignment horizontal="right"/>
    </xf>
    <xf numFmtId="164" fontId="1" fillId="35" borderId="2" xfId="57">
      <alignment horizontal="right"/>
    </xf>
    <xf numFmtId="4" fontId="1" fillId="35" borderId="2" xfId="58">
      <alignment horizontal="right"/>
    </xf>
    <xf numFmtId="3" fontId="8" fillId="34" borderId="2" xfId="59">
      <alignment horizontal="right"/>
    </xf>
    <xf numFmtId="164" fontId="8" fillId="34" borderId="2" xfId="60">
      <alignment horizontal="right"/>
    </xf>
    <xf numFmtId="4" fontId="8" fillId="34" borderId="2" xfId="61">
      <alignment horizontal="right"/>
    </xf>
    <xf numFmtId="3" fontId="8" fillId="35" borderId="2" xfId="62">
      <alignment horizontal="right"/>
    </xf>
    <xf numFmtId="164" fontId="8" fillId="35" borderId="2" xfId="63">
      <alignment horizontal="right"/>
    </xf>
    <xf numFmtId="4" fontId="8" fillId="35" borderId="2" xfId="64">
      <alignment horizontal="right"/>
    </xf>
    <xf numFmtId="3" fontId="11" fillId="34" borderId="2" xfId="65">
      <alignment horizontal="right"/>
    </xf>
    <xf numFmtId="164" fontId="11" fillId="34" borderId="2" xfId="66">
      <alignment horizontal="right"/>
    </xf>
    <xf numFmtId="3" fontId="11" fillId="35" borderId="2" xfId="67">
      <alignment horizontal="right"/>
    </xf>
    <xf numFmtId="164" fontId="11" fillId="35" borderId="2" xfId="68">
      <alignment horizontal="right"/>
    </xf>
    <xf numFmtId="0" fontId="7" fillId="33" borderId="16" xfId="69">
      <alignment horizontal="centerContinuous"/>
    </xf>
    <xf numFmtId="0" fontId="7" fillId="33" borderId="17" xfId="70">
      <alignment horizontal="centerContinuous"/>
    </xf>
    <xf numFmtId="164" fontId="1" fillId="34" borderId="18" xfId="71">
      <alignment horizontal="right"/>
    </xf>
    <xf numFmtId="165" fontId="1" fillId="34" borderId="19" xfId="72">
      <alignment horizontal="right"/>
    </xf>
    <xf numFmtId="4" fontId="1" fillId="34" borderId="18" xfId="73">
      <alignment horizontal="right"/>
    </xf>
    <xf numFmtId="10" fontId="1" fillId="34" borderId="19" xfId="74">
      <alignment horizontal="right"/>
    </xf>
    <xf numFmtId="164" fontId="8" fillId="34" borderId="18" xfId="75">
      <alignment horizontal="right"/>
    </xf>
    <xf numFmtId="165" fontId="8" fillId="34" borderId="19" xfId="76">
      <alignment horizontal="right"/>
    </xf>
    <xf numFmtId="4" fontId="8" fillId="34" borderId="18" xfId="77">
      <alignment horizontal="right"/>
    </xf>
    <xf numFmtId="10" fontId="8" fillId="34" borderId="19" xfId="78">
      <alignment horizontal="right"/>
    </xf>
    <xf numFmtId="164" fontId="1" fillId="34" borderId="0" xfId="71" applyBorder="1">
      <alignment horizontal="right"/>
    </xf>
    <xf numFmtId="165" fontId="1" fillId="34" borderId="0" xfId="72" applyBorder="1">
      <alignment horizontal="right"/>
    </xf>
  </cellXfs>
  <cellStyles count="7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centered" xfId="70" xr:uid="{00000000-0005-0000-0000-00001F000000}"/>
    <cellStyle name="fa_column_header_bottom_left" xfId="52" xr:uid="{00000000-0005-0000-0000-000020000000}"/>
    <cellStyle name="fa_column_header_empty" xfId="31" xr:uid="{00000000-0005-0000-0000-000021000000}"/>
    <cellStyle name="fa_column_header_top" xfId="32" xr:uid="{00000000-0005-0000-0000-000022000000}"/>
    <cellStyle name="fa_column_header_top_centered" xfId="69" xr:uid="{00000000-0005-0000-0000-000023000000}"/>
    <cellStyle name="fa_column_header_top_left" xfId="33" xr:uid="{00000000-0005-0000-0000-000024000000}"/>
    <cellStyle name="fa_data_bold_0_grouped" xfId="59" xr:uid="{00000000-0005-0000-0000-000025000000}"/>
    <cellStyle name="fa_data_bold_1_grouped" xfId="60" xr:uid="{00000000-0005-0000-0000-000026000000}"/>
    <cellStyle name="fa_data_bold_1_grouped_single_border" xfId="75" xr:uid="{00000000-0005-0000-0000-000027000000}"/>
    <cellStyle name="fa_data_bold_1_percent_single_border" xfId="76" xr:uid="{00000000-0005-0000-0000-000028000000}"/>
    <cellStyle name="fa_data_bold_2_grouped" xfId="61" xr:uid="{00000000-0005-0000-0000-000029000000}"/>
    <cellStyle name="fa_data_bold_2_grouped_single_border" xfId="77" xr:uid="{00000000-0005-0000-0000-00002A000000}"/>
    <cellStyle name="fa_data_bold_2_percent_single_border" xfId="78" xr:uid="{00000000-0005-0000-0000-00002B000000}"/>
    <cellStyle name="fa_data_current_bold_0_grouped" xfId="62" xr:uid="{00000000-0005-0000-0000-00002C000000}"/>
    <cellStyle name="fa_data_current_bold_1_grouped" xfId="63" xr:uid="{00000000-0005-0000-0000-00002D000000}"/>
    <cellStyle name="fa_data_current_bold_2_grouped" xfId="64" xr:uid="{00000000-0005-0000-0000-00002E000000}"/>
    <cellStyle name="fa_data_current_italic_0_grouped" xfId="67" xr:uid="{00000000-0005-0000-0000-00002F000000}"/>
    <cellStyle name="fa_data_current_italic_1_grouped" xfId="68" xr:uid="{00000000-0005-0000-0000-000030000000}"/>
    <cellStyle name="fa_data_current_standard_0_grouped" xfId="56" xr:uid="{00000000-0005-0000-0000-000031000000}"/>
    <cellStyle name="fa_data_current_standard_1_grouped" xfId="57" xr:uid="{00000000-0005-0000-0000-000032000000}"/>
    <cellStyle name="fa_data_current_standard_2_grouped" xfId="58" xr:uid="{00000000-0005-0000-0000-000033000000}"/>
    <cellStyle name="fa_data_italic_0_grouped" xfId="65" xr:uid="{00000000-0005-0000-0000-000034000000}"/>
    <cellStyle name="fa_data_italic_1_grouped" xfId="66" xr:uid="{00000000-0005-0000-0000-000035000000}"/>
    <cellStyle name="fa_data_standard_0_grouped" xfId="53" xr:uid="{00000000-0005-0000-0000-000036000000}"/>
    <cellStyle name="fa_data_standard_1_grouped" xfId="54" xr:uid="{00000000-0005-0000-0000-000037000000}"/>
    <cellStyle name="fa_data_standard_1_grouped_single_border" xfId="71" xr:uid="{00000000-0005-0000-0000-000038000000}"/>
    <cellStyle name="fa_data_standard_1_percent_single_border" xfId="72" xr:uid="{00000000-0005-0000-0000-000039000000}"/>
    <cellStyle name="fa_data_standard_2_grouped" xfId="55" xr:uid="{00000000-0005-0000-0000-00003A000000}"/>
    <cellStyle name="fa_data_standard_2_grouped_single_border" xfId="73" xr:uid="{00000000-0005-0000-0000-00003B000000}"/>
    <cellStyle name="fa_data_standard_2_percent_single_border" xfId="74" xr:uid="{00000000-0005-0000-0000-00003C000000}"/>
    <cellStyle name="fa_footer_italic" xfId="34" xr:uid="{00000000-0005-0000-0000-00003D000000}"/>
    <cellStyle name="fa_row_header_bold" xfId="35" xr:uid="{00000000-0005-0000-0000-00003E000000}"/>
    <cellStyle name="fa_row_header_italic" xfId="36" xr:uid="{00000000-0005-0000-0000-00003F000000}"/>
    <cellStyle name="fa_row_header_standard" xfId="37" xr:uid="{00000000-0005-0000-0000-000040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opLeftCell="R1" zoomScale="63" workbookViewId="0">
      <selection activeCell="H13" sqref="H13"/>
    </sheetView>
  </sheetViews>
  <sheetFormatPr defaultRowHeight="14.4" x14ac:dyDescent="0.3"/>
  <cols>
    <col min="1" max="1" width="35.109375" customWidth="1"/>
    <col min="2" max="2" width="0" hidden="1" customWidth="1"/>
    <col min="3" max="20" width="11.88671875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 x14ac:dyDescent="0.3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</row>
    <row r="5" spans="1:20" x14ac:dyDescent="0.3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32</v>
      </c>
      <c r="O5" s="5" t="s">
        <v>33</v>
      </c>
      <c r="P5" s="5" t="s">
        <v>34</v>
      </c>
      <c r="Q5" s="5" t="s">
        <v>35</v>
      </c>
      <c r="R5" s="5" t="s">
        <v>36</v>
      </c>
      <c r="S5" s="5" t="s">
        <v>37</v>
      </c>
      <c r="T5" s="5" t="s">
        <v>38</v>
      </c>
    </row>
    <row r="6" spans="1:20" x14ac:dyDescent="0.3">
      <c r="A6" s="6" t="s">
        <v>39</v>
      </c>
      <c r="B6" s="6" t="s">
        <v>40</v>
      </c>
      <c r="C6" s="19">
        <v>2078.8795</v>
      </c>
      <c r="D6" s="19">
        <v>1595.1061999999999</v>
      </c>
      <c r="E6" s="19">
        <v>1481.9468999999999</v>
      </c>
      <c r="F6" s="19">
        <v>1879.1277</v>
      </c>
      <c r="G6" s="19">
        <v>2050.7310000000002</v>
      </c>
      <c r="H6" s="19">
        <v>1586.6506999999999</v>
      </c>
      <c r="I6" s="19">
        <v>1665.5232000000001</v>
      </c>
      <c r="J6" s="19">
        <v>1491.9160999999999</v>
      </c>
      <c r="K6" s="19">
        <v>1196.5265999999999</v>
      </c>
      <c r="L6" s="19">
        <v>1068.8672999999999</v>
      </c>
      <c r="M6" s="19">
        <v>1038.4219000000001</v>
      </c>
      <c r="N6" s="19">
        <v>1390.0471</v>
      </c>
      <c r="O6" s="19">
        <v>1371.4826</v>
      </c>
      <c r="P6" s="19">
        <v>3496.9256999999998</v>
      </c>
      <c r="Q6" s="19">
        <v>10703.145200000001</v>
      </c>
      <c r="R6" s="22">
        <v>7622.8046677856601</v>
      </c>
      <c r="S6" s="19"/>
      <c r="T6" s="19"/>
    </row>
    <row r="7" spans="1:20" x14ac:dyDescent="0.3">
      <c r="A7" s="10" t="s">
        <v>41</v>
      </c>
      <c r="B7" s="10" t="s">
        <v>42</v>
      </c>
      <c r="C7" s="13">
        <v>632.79999999999995</v>
      </c>
      <c r="D7" s="13">
        <v>658.9</v>
      </c>
      <c r="E7" s="13">
        <v>550.5</v>
      </c>
      <c r="F7" s="13">
        <v>544.29999999999995</v>
      </c>
      <c r="G7" s="13">
        <v>565</v>
      </c>
      <c r="H7" s="13">
        <v>545.29999999999995</v>
      </c>
      <c r="I7" s="13">
        <v>557.20000000000005</v>
      </c>
      <c r="J7" s="13">
        <v>515.20000000000005</v>
      </c>
      <c r="K7" s="13">
        <v>422</v>
      </c>
      <c r="L7" s="13">
        <v>479.5</v>
      </c>
      <c r="M7" s="13">
        <v>463.8</v>
      </c>
      <c r="N7" s="13">
        <v>394</v>
      </c>
      <c r="O7" s="13">
        <v>374.5</v>
      </c>
      <c r="P7" s="13">
        <v>370.4</v>
      </c>
      <c r="Q7" s="13">
        <v>423.3</v>
      </c>
      <c r="R7" s="16">
        <v>423.3</v>
      </c>
      <c r="S7" s="13"/>
      <c r="T7" s="13"/>
    </row>
    <row r="8" spans="1:20" x14ac:dyDescent="0.3">
      <c r="A8" s="10" t="s">
        <v>43</v>
      </c>
      <c r="B8" s="10" t="s">
        <v>44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6">
        <v>0</v>
      </c>
      <c r="S8" s="13"/>
      <c r="T8" s="13"/>
    </row>
    <row r="9" spans="1:20" x14ac:dyDescent="0.3">
      <c r="A9" s="10" t="s">
        <v>45</v>
      </c>
      <c r="B9" s="10" t="s">
        <v>46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6">
        <v>0</v>
      </c>
      <c r="S9" s="13"/>
      <c r="T9" s="13"/>
    </row>
    <row r="10" spans="1:20" x14ac:dyDescent="0.3">
      <c r="A10" s="10" t="s">
        <v>47</v>
      </c>
      <c r="B10" s="10" t="s">
        <v>48</v>
      </c>
      <c r="C10" s="13">
        <v>0</v>
      </c>
      <c r="D10" s="13">
        <v>0</v>
      </c>
      <c r="E10" s="13">
        <v>55</v>
      </c>
      <c r="F10" s="13">
        <v>0</v>
      </c>
      <c r="G10" s="13">
        <v>0</v>
      </c>
      <c r="H10" s="13">
        <v>279.7</v>
      </c>
      <c r="I10" s="13">
        <v>244.7</v>
      </c>
      <c r="J10" s="13">
        <v>204.4</v>
      </c>
      <c r="K10" s="13">
        <v>757.9</v>
      </c>
      <c r="L10" s="13">
        <v>698.7</v>
      </c>
      <c r="M10" s="13">
        <v>585.9</v>
      </c>
      <c r="N10" s="13">
        <v>794.4</v>
      </c>
      <c r="O10" s="13">
        <v>786.1</v>
      </c>
      <c r="P10" s="13">
        <v>675.3</v>
      </c>
      <c r="Q10" s="13">
        <v>796.7</v>
      </c>
      <c r="R10" s="16">
        <v>796.7</v>
      </c>
      <c r="S10" s="13"/>
      <c r="T10" s="13"/>
    </row>
    <row r="11" spans="1:20" x14ac:dyDescent="0.3">
      <c r="A11" s="6" t="s">
        <v>49</v>
      </c>
      <c r="B11" s="6" t="s">
        <v>50</v>
      </c>
      <c r="C11" s="19">
        <v>1446.0795000000001</v>
      </c>
      <c r="D11" s="19">
        <v>936.20619999999997</v>
      </c>
      <c r="E11" s="19">
        <v>986.44690000000003</v>
      </c>
      <c r="F11" s="19">
        <v>1334.8277</v>
      </c>
      <c r="G11" s="19">
        <v>1485.731</v>
      </c>
      <c r="H11" s="19">
        <v>1321.0507</v>
      </c>
      <c r="I11" s="19">
        <v>1353.0232000000001</v>
      </c>
      <c r="J11" s="19">
        <v>1181.1161</v>
      </c>
      <c r="K11" s="19">
        <v>1532.4266</v>
      </c>
      <c r="L11" s="19">
        <v>1288.0672999999999</v>
      </c>
      <c r="M11" s="19">
        <v>1160.5219</v>
      </c>
      <c r="N11" s="19">
        <v>1790.4471000000001</v>
      </c>
      <c r="O11" s="19">
        <v>1783.0826</v>
      </c>
      <c r="P11" s="19">
        <v>3801.8256999999999</v>
      </c>
      <c r="Q11" s="19">
        <v>11076.5452</v>
      </c>
      <c r="R11" s="22">
        <v>7996.2045390215499</v>
      </c>
      <c r="S11" s="19"/>
      <c r="T11" s="19"/>
    </row>
    <row r="12" spans="1:20" x14ac:dyDescent="0.3">
      <c r="A12" s="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21"/>
      <c r="S12" s="18"/>
      <c r="T12" s="18"/>
    </row>
    <row r="13" spans="1:20" x14ac:dyDescent="0.3">
      <c r="A13" s="6" t="s">
        <v>51</v>
      </c>
      <c r="B13" s="6" t="s">
        <v>52</v>
      </c>
      <c r="C13" s="19">
        <v>1282.9000000000001</v>
      </c>
      <c r="D13" s="19">
        <v>1463.8</v>
      </c>
      <c r="E13" s="19">
        <v>1377.7</v>
      </c>
      <c r="F13" s="19">
        <v>1402</v>
      </c>
      <c r="G13" s="19">
        <v>1394.9</v>
      </c>
      <c r="H13" s="19">
        <v>1370.7</v>
      </c>
      <c r="I13" s="19">
        <v>1483.5</v>
      </c>
      <c r="J13" s="19">
        <v>1574.6</v>
      </c>
      <c r="K13" s="19">
        <v>2090.1999999999998</v>
      </c>
      <c r="L13" s="19">
        <v>2054.9</v>
      </c>
      <c r="M13" s="19">
        <v>1994.9</v>
      </c>
      <c r="N13" s="19">
        <v>2257.4</v>
      </c>
      <c r="O13" s="19">
        <v>2463.8000000000002</v>
      </c>
      <c r="P13" s="19">
        <v>2446.3000000000002</v>
      </c>
      <c r="Q13" s="19">
        <v>2692.7</v>
      </c>
      <c r="R13" s="22">
        <v>2692.7</v>
      </c>
      <c r="S13" s="19"/>
      <c r="T13" s="19"/>
    </row>
    <row r="14" spans="1:20" x14ac:dyDescent="0.3">
      <c r="A14" s="10" t="s">
        <v>53</v>
      </c>
      <c r="B14" s="10" t="s">
        <v>54</v>
      </c>
      <c r="C14" s="14">
        <v>0</v>
      </c>
      <c r="D14" s="14">
        <v>0</v>
      </c>
      <c r="E14" s="14">
        <v>3.9922</v>
      </c>
      <c r="F14" s="14">
        <v>0</v>
      </c>
      <c r="G14" s="14">
        <v>0</v>
      </c>
      <c r="H14" s="14">
        <v>20.4056</v>
      </c>
      <c r="I14" s="14">
        <v>16.494800000000001</v>
      </c>
      <c r="J14" s="14">
        <v>12.9811</v>
      </c>
      <c r="K14" s="14">
        <v>36.259700000000002</v>
      </c>
      <c r="L14" s="14">
        <v>34.0017</v>
      </c>
      <c r="M14" s="14">
        <v>29.369900000000001</v>
      </c>
      <c r="N14" s="14">
        <v>35.190899999999999</v>
      </c>
      <c r="O14" s="14">
        <v>31.905999999999999</v>
      </c>
      <c r="P14" s="14">
        <v>27.605</v>
      </c>
      <c r="Q14" s="14">
        <v>29.587399999999999</v>
      </c>
      <c r="R14" s="17">
        <v>29.5874029784231</v>
      </c>
      <c r="S14" s="14"/>
      <c r="T14" s="14"/>
    </row>
    <row r="15" spans="1:20" x14ac:dyDescent="0.3">
      <c r="A15" s="10" t="s">
        <v>55</v>
      </c>
      <c r="B15" s="10" t="s">
        <v>56</v>
      </c>
      <c r="C15" s="14">
        <v>0</v>
      </c>
      <c r="D15" s="14">
        <v>0</v>
      </c>
      <c r="E15" s="14">
        <v>5.5800000000000002E-2</v>
      </c>
      <c r="F15" s="14">
        <v>0</v>
      </c>
      <c r="G15" s="14">
        <v>0</v>
      </c>
      <c r="H15" s="14">
        <v>0.2117</v>
      </c>
      <c r="I15" s="14">
        <v>0.18090000000000001</v>
      </c>
      <c r="J15" s="14">
        <v>0.1731</v>
      </c>
      <c r="K15" s="14">
        <v>0.49459999999999998</v>
      </c>
      <c r="L15" s="14">
        <v>0.54239999999999999</v>
      </c>
      <c r="M15" s="14">
        <v>0.50490000000000002</v>
      </c>
      <c r="N15" s="14">
        <v>0.44369999999999998</v>
      </c>
      <c r="O15" s="14">
        <v>0.44090000000000001</v>
      </c>
      <c r="P15" s="14">
        <v>0.17760000000000001</v>
      </c>
      <c r="Q15" s="14">
        <v>7.1900000000000006E-2</v>
      </c>
      <c r="R15" s="17">
        <v>9.9634769985196894E-2</v>
      </c>
      <c r="S15" s="14"/>
      <c r="T15" s="14"/>
    </row>
    <row r="16" spans="1:20" x14ac:dyDescent="0.3">
      <c r="A16" s="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21"/>
      <c r="S16" s="18"/>
      <c r="T16" s="18"/>
    </row>
    <row r="17" spans="1:20" x14ac:dyDescent="0.3">
      <c r="A17" s="6" t="s">
        <v>57</v>
      </c>
      <c r="B17" s="6" t="s">
        <v>58</v>
      </c>
      <c r="C17" s="20">
        <v>0.22159999999999999</v>
      </c>
      <c r="D17" s="20">
        <v>0.1298</v>
      </c>
      <c r="E17" s="20">
        <v>0.15160000000000001</v>
      </c>
      <c r="F17" s="20">
        <v>0.2303</v>
      </c>
      <c r="G17" s="20">
        <v>0.26379999999999998</v>
      </c>
      <c r="H17" s="20">
        <v>0.23430000000000001</v>
      </c>
      <c r="I17" s="20">
        <v>0.22489999999999999</v>
      </c>
      <c r="J17" s="20">
        <v>0.1923</v>
      </c>
      <c r="K17" s="20">
        <v>0.23100000000000001</v>
      </c>
      <c r="L17" s="20">
        <v>0.21879999999999999</v>
      </c>
      <c r="M17" s="20">
        <v>0.2019</v>
      </c>
      <c r="N17" s="20">
        <v>0.31780000000000003</v>
      </c>
      <c r="O17" s="20">
        <v>0.24590000000000001</v>
      </c>
      <c r="P17" s="20">
        <v>0.47760000000000002</v>
      </c>
      <c r="Q17" s="20">
        <v>1.1483000000000001</v>
      </c>
      <c r="R17" s="23">
        <v>0.82896584480837099</v>
      </c>
      <c r="S17" s="20">
        <v>0.73460410090970596</v>
      </c>
      <c r="T17" s="20">
        <v>0.62744034498461498</v>
      </c>
    </row>
    <row r="18" spans="1:20" x14ac:dyDescent="0.3">
      <c r="A18" s="6" t="s">
        <v>59</v>
      </c>
      <c r="B18" s="6" t="s">
        <v>60</v>
      </c>
      <c r="C18" s="20">
        <v>6.7796000000000003</v>
      </c>
      <c r="D18" s="20">
        <v>3.327</v>
      </c>
      <c r="E18" s="20">
        <v>5.0048000000000004</v>
      </c>
      <c r="F18" s="20">
        <v>6.5018000000000002</v>
      </c>
      <c r="G18" s="20">
        <v>7.5648</v>
      </c>
      <c r="H18" s="20">
        <v>7.1913</v>
      </c>
      <c r="I18" s="20">
        <v>5.8244999999999996</v>
      </c>
      <c r="J18" s="20">
        <v>5.3760000000000003</v>
      </c>
      <c r="K18" s="20">
        <v>7.8425000000000002</v>
      </c>
      <c r="L18" s="20">
        <v>4.5243000000000002</v>
      </c>
      <c r="M18" s="20">
        <v>4.5942999999999996</v>
      </c>
      <c r="N18" s="20">
        <v>6.09</v>
      </c>
      <c r="O18" s="20">
        <v>4.3692000000000002</v>
      </c>
      <c r="P18" s="20">
        <v>8.1044999999999998</v>
      </c>
      <c r="Q18" s="20">
        <v>14.745100000000001</v>
      </c>
      <c r="R18" s="23">
        <v>10.6445747324568</v>
      </c>
      <c r="S18" s="20">
        <v>9.0972377701934004</v>
      </c>
      <c r="T18" s="20">
        <v>7.5464373348433398</v>
      </c>
    </row>
    <row r="19" spans="1:20" x14ac:dyDescent="0.3">
      <c r="A19" s="6" t="s">
        <v>61</v>
      </c>
      <c r="B19" s="6" t="s">
        <v>62</v>
      </c>
      <c r="C19" s="20">
        <v>11.4496</v>
      </c>
      <c r="D19" s="20">
        <v>4.5848000000000004</v>
      </c>
      <c r="E19" s="20">
        <v>8.5480999999999998</v>
      </c>
      <c r="F19" s="20">
        <v>9.9911999999999992</v>
      </c>
      <c r="G19" s="20">
        <v>11.634499999999999</v>
      </c>
      <c r="H19" s="20">
        <v>11.4476</v>
      </c>
      <c r="I19" s="20">
        <v>8.6344999999999992</v>
      </c>
      <c r="J19" s="20">
        <v>8.2479999999999993</v>
      </c>
      <c r="K19" s="20">
        <v>14.4161</v>
      </c>
      <c r="L19" s="20">
        <v>8.6273999999999997</v>
      </c>
      <c r="M19" s="20">
        <v>9.0737000000000005</v>
      </c>
      <c r="N19" s="20">
        <v>10.676500000000001</v>
      </c>
      <c r="O19" s="20">
        <v>6.7721</v>
      </c>
      <c r="P19" s="20">
        <v>11.238</v>
      </c>
      <c r="Q19" s="20">
        <v>18.482500000000002</v>
      </c>
      <c r="R19" s="23">
        <v>13.342573901253999</v>
      </c>
      <c r="S19" s="20">
        <v>10.6143537099095</v>
      </c>
      <c r="T19" s="20">
        <v>8.8524781976451798</v>
      </c>
    </row>
    <row r="20" spans="1:20" x14ac:dyDescent="0.3">
      <c r="A20" s="6" t="s">
        <v>63</v>
      </c>
      <c r="B20" s="6" t="s">
        <v>64</v>
      </c>
      <c r="C20" s="20">
        <v>8.4198000000000004</v>
      </c>
      <c r="D20" s="20">
        <v>4.6439000000000004</v>
      </c>
      <c r="E20" s="20" t="s">
        <v>65</v>
      </c>
      <c r="F20" s="20">
        <v>8.7806999999999995</v>
      </c>
      <c r="G20" s="20" t="s">
        <v>65</v>
      </c>
      <c r="H20" s="20">
        <v>6.5998999999999999</v>
      </c>
      <c r="I20" s="20">
        <v>7.4438000000000004</v>
      </c>
      <c r="J20" s="20">
        <v>8.7485999999999997</v>
      </c>
      <c r="K20" s="20" t="s">
        <v>65</v>
      </c>
      <c r="L20" s="20">
        <v>3.6839</v>
      </c>
      <c r="M20" s="20">
        <v>4.7621000000000002</v>
      </c>
      <c r="N20" s="20">
        <v>7.7226999999999997</v>
      </c>
      <c r="O20" s="20">
        <v>5.8714000000000004</v>
      </c>
      <c r="P20" s="20">
        <v>11.3872</v>
      </c>
      <c r="Q20" s="20">
        <v>22.986999999999998</v>
      </c>
      <c r="R20" s="23">
        <v>16.5943984777944</v>
      </c>
      <c r="S20" s="20"/>
      <c r="T20" s="20"/>
    </row>
    <row r="21" spans="1:20" x14ac:dyDescent="0.3">
      <c r="A21" s="6" t="s">
        <v>66</v>
      </c>
      <c r="B21" s="6" t="s">
        <v>67</v>
      </c>
      <c r="C21" s="20">
        <v>13.033799999999999</v>
      </c>
      <c r="D21" s="20">
        <v>6.7207999999999997</v>
      </c>
      <c r="E21" s="20" t="s">
        <v>65</v>
      </c>
      <c r="F21" s="20">
        <v>13.4535</v>
      </c>
      <c r="G21" s="20" t="s">
        <v>65</v>
      </c>
      <c r="H21" s="20">
        <v>9.6172000000000004</v>
      </c>
      <c r="I21" s="20">
        <v>11.498900000000001</v>
      </c>
      <c r="J21" s="20">
        <v>36.447899999999997</v>
      </c>
      <c r="K21" s="20" t="s">
        <v>65</v>
      </c>
      <c r="L21" s="20">
        <v>4.7857000000000003</v>
      </c>
      <c r="M21" s="20">
        <v>6.0792999999999999</v>
      </c>
      <c r="N21" s="20">
        <v>9.9666999999999994</v>
      </c>
      <c r="O21" s="20">
        <v>9.1585999999999999</v>
      </c>
      <c r="P21" s="20">
        <v>18.210799999999999</v>
      </c>
      <c r="Q21" s="20">
        <v>35.6203</v>
      </c>
      <c r="R21" s="23">
        <v>25.714437976934899</v>
      </c>
      <c r="S21" s="20"/>
      <c r="T21" s="20"/>
    </row>
    <row r="22" spans="1:20" x14ac:dyDescent="0.3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21"/>
      <c r="S22" s="18"/>
      <c r="T22" s="18"/>
    </row>
    <row r="23" spans="1:20" x14ac:dyDescent="0.3">
      <c r="A23" s="6" t="s">
        <v>68</v>
      </c>
      <c r="B23" s="6" t="s">
        <v>69</v>
      </c>
      <c r="C23" s="19">
        <v>2233.1941000000002</v>
      </c>
      <c r="D23" s="19">
        <v>1608.3679999999999</v>
      </c>
      <c r="E23" s="19">
        <v>1707.443</v>
      </c>
      <c r="F23" s="19">
        <v>1925.8722</v>
      </c>
      <c r="G23" s="19">
        <v>2120.0680000000002</v>
      </c>
      <c r="H23" s="19">
        <v>1747.0861</v>
      </c>
      <c r="I23" s="19">
        <v>1702.1931</v>
      </c>
      <c r="J23" s="19">
        <v>1527.6884</v>
      </c>
      <c r="K23" s="19">
        <v>1234.2746999999999</v>
      </c>
      <c r="L23" s="19">
        <v>1093.7633000000001</v>
      </c>
      <c r="M23" s="19">
        <v>1038.4219000000001</v>
      </c>
      <c r="N23" s="19">
        <v>1412.3414</v>
      </c>
      <c r="O23" s="19">
        <v>1394.0399</v>
      </c>
      <c r="P23" s="19">
        <v>3535.1273999999999</v>
      </c>
      <c r="Q23" s="19">
        <v>10942.8367</v>
      </c>
      <c r="R23" s="22">
        <v>7721.50218777996</v>
      </c>
      <c r="S23" s="19"/>
      <c r="T23" s="19"/>
    </row>
    <row r="24" spans="1:20" x14ac:dyDescent="0.3">
      <c r="A24" s="6" t="s">
        <v>70</v>
      </c>
      <c r="B24" s="6" t="s">
        <v>71</v>
      </c>
      <c r="C24" s="19">
        <v>1467.0690999999999</v>
      </c>
      <c r="D24" s="19">
        <v>950.95519999999999</v>
      </c>
      <c r="E24" s="19">
        <v>999.94500000000005</v>
      </c>
      <c r="F24" s="19">
        <v>1355.3198</v>
      </c>
      <c r="G24" s="19">
        <v>1508.7212</v>
      </c>
      <c r="H24" s="19">
        <v>1342.4368999999999</v>
      </c>
      <c r="I24" s="19">
        <v>1377.6889000000001</v>
      </c>
      <c r="J24" s="19">
        <v>1203.01</v>
      </c>
      <c r="K24" s="19">
        <v>1542.7266999999999</v>
      </c>
      <c r="L24" s="19">
        <v>1294.5947000000001</v>
      </c>
      <c r="M24" s="19">
        <v>1160.5219</v>
      </c>
      <c r="N24" s="19">
        <v>1790.4471000000001</v>
      </c>
      <c r="O24" s="19">
        <v>1784.1931</v>
      </c>
      <c r="P24" s="19">
        <v>3807.6489999999999</v>
      </c>
      <c r="Q24" s="19">
        <v>11130.921899999999</v>
      </c>
      <c r="R24" s="22">
        <v>8081.6235941638297</v>
      </c>
      <c r="S24" s="19"/>
      <c r="T24" s="19"/>
    </row>
    <row r="25" spans="1:20" x14ac:dyDescent="0.3">
      <c r="A25" s="6" t="s">
        <v>72</v>
      </c>
      <c r="B25" s="6" t="s">
        <v>73</v>
      </c>
      <c r="C25" s="20">
        <v>6.7511000000000001</v>
      </c>
      <c r="D25" s="20">
        <v>4.3243</v>
      </c>
      <c r="E25" s="20">
        <v>5.3993000000000002</v>
      </c>
      <c r="F25" s="20">
        <v>7.3788</v>
      </c>
      <c r="G25" s="20">
        <v>8.5142000000000007</v>
      </c>
      <c r="H25" s="20">
        <v>9.2123000000000008</v>
      </c>
      <c r="I25" s="20">
        <v>9.6095000000000006</v>
      </c>
      <c r="J25" s="20">
        <v>8.3294999999999995</v>
      </c>
      <c r="K25" s="20">
        <v>11.243</v>
      </c>
      <c r="L25" s="20">
        <v>10.000500000000001</v>
      </c>
      <c r="M25" s="20">
        <v>8.9893000000000001</v>
      </c>
      <c r="N25" s="20">
        <v>14.358000000000001</v>
      </c>
      <c r="O25" s="20">
        <v>14.663500000000001</v>
      </c>
      <c r="P25" s="20">
        <v>31.9481</v>
      </c>
      <c r="Q25" s="20">
        <v>95.405199999999994</v>
      </c>
      <c r="R25" s="23">
        <v>95.405212937123196</v>
      </c>
      <c r="S25" s="20"/>
      <c r="T25" s="20"/>
    </row>
    <row r="26" spans="1:20" x14ac:dyDescent="0.3">
      <c r="A26" s="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21"/>
      <c r="S26" s="18"/>
      <c r="T26" s="18"/>
    </row>
    <row r="27" spans="1:20" x14ac:dyDescent="0.3">
      <c r="A27" s="6" t="s">
        <v>74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21"/>
      <c r="S27" s="18"/>
      <c r="T27" s="18"/>
    </row>
    <row r="28" spans="1:20" x14ac:dyDescent="0.3">
      <c r="A28" s="11" t="s">
        <v>75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6"/>
      <c r="S28" s="24"/>
      <c r="T28" s="24"/>
    </row>
    <row r="29" spans="1:20" x14ac:dyDescent="0.3">
      <c r="A29" s="10" t="s">
        <v>76</v>
      </c>
      <c r="B29" s="10" t="s">
        <v>77</v>
      </c>
      <c r="C29" s="12" t="s">
        <v>78</v>
      </c>
      <c r="D29" s="12" t="s">
        <v>78</v>
      </c>
      <c r="E29" s="12" t="s">
        <v>78</v>
      </c>
      <c r="F29" s="12" t="s">
        <v>78</v>
      </c>
      <c r="G29" s="12" t="s">
        <v>78</v>
      </c>
      <c r="H29" s="12" t="s">
        <v>78</v>
      </c>
      <c r="I29" s="12" t="s">
        <v>78</v>
      </c>
      <c r="J29" s="12" t="s">
        <v>78</v>
      </c>
      <c r="K29" s="12" t="s">
        <v>78</v>
      </c>
      <c r="L29" s="12" t="s">
        <v>79</v>
      </c>
      <c r="M29" s="12" t="s">
        <v>79</v>
      </c>
      <c r="N29" s="12" t="s">
        <v>79</v>
      </c>
      <c r="O29" s="12" t="s">
        <v>79</v>
      </c>
      <c r="P29" s="12" t="s">
        <v>79</v>
      </c>
      <c r="Q29" s="12" t="s">
        <v>79</v>
      </c>
      <c r="R29" s="15" t="s">
        <v>79</v>
      </c>
      <c r="S29" s="12"/>
      <c r="T29" s="12"/>
    </row>
    <row r="30" spans="1:20" x14ac:dyDescent="0.3">
      <c r="A30" s="10" t="s">
        <v>80</v>
      </c>
      <c r="B30" s="10" t="s">
        <v>81</v>
      </c>
      <c r="C30" s="13">
        <v>6526.1</v>
      </c>
      <c r="D30" s="13">
        <v>7213</v>
      </c>
      <c r="E30" s="13">
        <v>6507.2</v>
      </c>
      <c r="F30" s="13">
        <v>5796.1</v>
      </c>
      <c r="G30" s="13">
        <v>5631.3</v>
      </c>
      <c r="H30" s="13">
        <v>5639.2</v>
      </c>
      <c r="I30" s="13">
        <v>6016.5</v>
      </c>
      <c r="J30" s="13">
        <v>6142.7</v>
      </c>
      <c r="K30" s="13">
        <v>6633.2</v>
      </c>
      <c r="L30" s="13">
        <v>5888.3</v>
      </c>
      <c r="M30" s="13">
        <v>5748.1</v>
      </c>
      <c r="N30" s="13">
        <v>5634.7</v>
      </c>
      <c r="O30" s="13">
        <v>7250</v>
      </c>
      <c r="P30" s="13">
        <v>7961</v>
      </c>
      <c r="Q30" s="13">
        <v>9646</v>
      </c>
      <c r="R30" s="16">
        <v>9646</v>
      </c>
      <c r="S30" s="13">
        <v>10885.416999999999</v>
      </c>
      <c r="T30" s="13">
        <v>12744.166999999999</v>
      </c>
    </row>
    <row r="31" spans="1:20" x14ac:dyDescent="0.3">
      <c r="A31" s="10" t="s">
        <v>82</v>
      </c>
      <c r="B31" s="10" t="s">
        <v>83</v>
      </c>
      <c r="C31" s="13">
        <v>213.3</v>
      </c>
      <c r="D31" s="13">
        <v>281.39999999999998</v>
      </c>
      <c r="E31" s="13">
        <v>197.1</v>
      </c>
      <c r="F31" s="13">
        <v>205.3</v>
      </c>
      <c r="G31" s="13">
        <v>196.4</v>
      </c>
      <c r="H31" s="13">
        <v>183.7</v>
      </c>
      <c r="I31" s="13">
        <v>232.3</v>
      </c>
      <c r="J31" s="13">
        <v>219.7</v>
      </c>
      <c r="K31" s="13">
        <v>195.4</v>
      </c>
      <c r="L31" s="13">
        <v>284.7</v>
      </c>
      <c r="M31" s="13">
        <v>252.6</v>
      </c>
      <c r="N31" s="13">
        <v>294</v>
      </c>
      <c r="O31" s="13">
        <v>408.1</v>
      </c>
      <c r="P31" s="13">
        <v>469.1</v>
      </c>
      <c r="Q31" s="13">
        <v>751.2</v>
      </c>
      <c r="R31" s="16">
        <v>783.3</v>
      </c>
      <c r="S31" s="13">
        <v>879</v>
      </c>
      <c r="T31" s="13">
        <v>1059.5999999999999</v>
      </c>
    </row>
    <row r="32" spans="1:20" x14ac:dyDescent="0.3">
      <c r="A32" s="10" t="s">
        <v>84</v>
      </c>
      <c r="B32" s="10" t="s">
        <v>85</v>
      </c>
      <c r="C32" s="13">
        <v>126.3</v>
      </c>
      <c r="D32" s="13">
        <v>204.2</v>
      </c>
      <c r="E32" s="13">
        <v>115.4</v>
      </c>
      <c r="F32" s="13">
        <v>133.6</v>
      </c>
      <c r="G32" s="13">
        <v>127.7</v>
      </c>
      <c r="H32" s="13">
        <v>115.4</v>
      </c>
      <c r="I32" s="13">
        <v>156.69999999999999</v>
      </c>
      <c r="J32" s="13">
        <v>143.19999999999999</v>
      </c>
      <c r="K32" s="13">
        <v>106.3</v>
      </c>
      <c r="L32" s="13">
        <v>149.30000000000001</v>
      </c>
      <c r="M32" s="13">
        <v>127.9</v>
      </c>
      <c r="N32" s="13">
        <v>167.7</v>
      </c>
      <c r="O32" s="13">
        <v>263.3</v>
      </c>
      <c r="P32" s="13">
        <v>338.3</v>
      </c>
      <c r="Q32" s="13">
        <v>599.29999999999995</v>
      </c>
      <c r="R32" s="16">
        <v>606.9</v>
      </c>
      <c r="S32" s="13">
        <v>753.36400000000003</v>
      </c>
      <c r="T32" s="13">
        <v>903.27300000000002</v>
      </c>
    </row>
    <row r="33" spans="1:20" x14ac:dyDescent="0.3">
      <c r="A33" s="10" t="s">
        <v>86</v>
      </c>
      <c r="B33" s="10" t="s">
        <v>87</v>
      </c>
      <c r="C33" s="13">
        <v>171.7482</v>
      </c>
      <c r="D33" s="13">
        <v>201.59950000000001</v>
      </c>
      <c r="E33" s="13" t="s">
        <v>65</v>
      </c>
      <c r="F33" s="13">
        <v>152.01820000000001</v>
      </c>
      <c r="G33" s="13" t="s">
        <v>65</v>
      </c>
      <c r="H33" s="13">
        <v>200.16319999999999</v>
      </c>
      <c r="I33" s="13">
        <v>181.76580000000001</v>
      </c>
      <c r="J33" s="13">
        <v>135.00559999999999</v>
      </c>
      <c r="K33" s="13" t="s">
        <v>65</v>
      </c>
      <c r="L33" s="13">
        <v>349.64909999999998</v>
      </c>
      <c r="M33" s="13">
        <v>243.69820000000001</v>
      </c>
      <c r="N33" s="13">
        <v>231.84219999999999</v>
      </c>
      <c r="O33" s="13">
        <v>303.68860000000001</v>
      </c>
      <c r="P33" s="13">
        <v>333.86750000000001</v>
      </c>
      <c r="Q33" s="13">
        <v>481.86169999999998</v>
      </c>
      <c r="R33" s="16">
        <v>593.44438794042901</v>
      </c>
      <c r="S33" s="13"/>
      <c r="T33" s="13"/>
    </row>
    <row r="34" spans="1:20" x14ac:dyDescent="0.3">
      <c r="A34" s="10" t="s">
        <v>88</v>
      </c>
      <c r="B34" s="10" t="s">
        <v>89</v>
      </c>
      <c r="C34" s="13">
        <v>110.9482</v>
      </c>
      <c r="D34" s="13">
        <v>139.29949999999999</v>
      </c>
      <c r="E34" s="13" t="s">
        <v>65</v>
      </c>
      <c r="F34" s="13">
        <v>99.218199999999996</v>
      </c>
      <c r="G34" s="13" t="s">
        <v>65</v>
      </c>
      <c r="H34" s="13">
        <v>137.36320000000001</v>
      </c>
      <c r="I34" s="13">
        <v>117.6658</v>
      </c>
      <c r="J34" s="13">
        <v>32.4056</v>
      </c>
      <c r="K34" s="13" t="s">
        <v>65</v>
      </c>
      <c r="L34" s="13">
        <v>269.14909999999998</v>
      </c>
      <c r="M34" s="13">
        <v>190.8982</v>
      </c>
      <c r="N34" s="13">
        <v>179.6422</v>
      </c>
      <c r="O34" s="13">
        <v>194.68860000000001</v>
      </c>
      <c r="P34" s="13">
        <v>208.76750000000001</v>
      </c>
      <c r="Q34" s="13">
        <v>310.96170000000001</v>
      </c>
      <c r="R34" s="16">
        <v>422.54438794042898</v>
      </c>
      <c r="S34" s="13"/>
      <c r="T34" s="13"/>
    </row>
    <row r="35" spans="1:20" x14ac:dyDescent="0.3">
      <c r="A35" s="7" t="s">
        <v>90</v>
      </c>
      <c r="B35" s="7"/>
      <c r="C35" s="7" t="s">
        <v>91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9"/>
  <sheetViews>
    <sheetView workbookViewId="0">
      <selection activeCell="E6" sqref="E6"/>
    </sheetView>
  </sheetViews>
  <sheetFormatPr defaultRowHeight="14.4" x14ac:dyDescent="0.3"/>
  <cols>
    <col min="1" max="1" width="35.109375" customWidth="1"/>
    <col min="2" max="2" width="0" hidden="1" customWidth="1"/>
    <col min="3" max="20" width="11.88671875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 x14ac:dyDescent="0.3">
      <c r="A2" s="8" t="s">
        <v>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</row>
    <row r="5" spans="1:20" x14ac:dyDescent="0.3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32</v>
      </c>
      <c r="O5" s="5" t="s">
        <v>33</v>
      </c>
      <c r="P5" s="5" t="s">
        <v>34</v>
      </c>
      <c r="Q5" s="5" t="s">
        <v>35</v>
      </c>
      <c r="R5" s="5" t="s">
        <v>36</v>
      </c>
      <c r="S5" s="5" t="s">
        <v>37</v>
      </c>
      <c r="T5" s="5" t="s">
        <v>38</v>
      </c>
    </row>
    <row r="6" spans="1:20" x14ac:dyDescent="0.3">
      <c r="A6" s="6" t="s">
        <v>93</v>
      </c>
      <c r="B6" s="6" t="s">
        <v>94</v>
      </c>
      <c r="C6" s="20">
        <v>16.459900000000001</v>
      </c>
      <c r="D6" s="20">
        <v>8.0836000000000006</v>
      </c>
      <c r="E6" s="20">
        <v>10.5456</v>
      </c>
      <c r="F6" s="20">
        <v>15.835699999999999</v>
      </c>
      <c r="G6" s="20">
        <v>16.207899999999999</v>
      </c>
      <c r="H6" s="20">
        <v>19.129200000000001</v>
      </c>
      <c r="I6" s="20">
        <v>10.9503</v>
      </c>
      <c r="J6" s="20">
        <v>11.021699999999999</v>
      </c>
      <c r="K6" s="20">
        <v>11.5113</v>
      </c>
      <c r="L6" s="20">
        <v>34.495399999999997</v>
      </c>
      <c r="M6" s="20">
        <v>20.343299999999999</v>
      </c>
      <c r="N6" s="20">
        <v>12.4664</v>
      </c>
      <c r="O6" s="20">
        <v>9.1766000000000005</v>
      </c>
      <c r="P6" s="20">
        <v>13.8391</v>
      </c>
      <c r="Q6" s="20">
        <v>24.534199999999998</v>
      </c>
      <c r="R6" s="23">
        <v>18.700590680349201</v>
      </c>
      <c r="S6" s="20">
        <v>13.578168512311301</v>
      </c>
      <c r="T6" s="20">
        <v>11.1798507044302</v>
      </c>
    </row>
    <row r="7" spans="1:20" x14ac:dyDescent="0.3">
      <c r="A7" s="10" t="s">
        <v>95</v>
      </c>
      <c r="B7" s="10" t="s">
        <v>96</v>
      </c>
      <c r="C7" s="14">
        <v>21.238800000000001</v>
      </c>
      <c r="D7" s="14">
        <v>15.5898</v>
      </c>
      <c r="E7" s="14">
        <v>8.7529000000000003</v>
      </c>
      <c r="F7" s="14">
        <v>12.3574</v>
      </c>
      <c r="G7" s="14">
        <v>16.512799999999999</v>
      </c>
      <c r="H7" s="14">
        <v>16.423500000000001</v>
      </c>
      <c r="I7" s="14">
        <v>18.448399999999999</v>
      </c>
      <c r="J7" s="14">
        <v>11.747299999999999</v>
      </c>
      <c r="K7" s="14">
        <v>11.598000000000001</v>
      </c>
      <c r="L7" s="14">
        <v>10.0991</v>
      </c>
      <c r="M7" s="14">
        <v>28.532900000000001</v>
      </c>
      <c r="N7" s="14">
        <v>22.574999999999999</v>
      </c>
      <c r="O7" s="14">
        <v>12.0604</v>
      </c>
      <c r="P7" s="14">
        <v>14.617599999999999</v>
      </c>
      <c r="Q7" s="14">
        <v>25.682300000000001</v>
      </c>
      <c r="R7" s="17"/>
      <c r="S7" s="14"/>
      <c r="T7" s="14"/>
    </row>
    <row r="8" spans="1:20" x14ac:dyDescent="0.3">
      <c r="A8" s="10" t="s">
        <v>97</v>
      </c>
      <c r="B8" s="10" t="s">
        <v>98</v>
      </c>
      <c r="C8" s="14">
        <v>25.619599999999998</v>
      </c>
      <c r="D8" s="14">
        <v>20.341100000000001</v>
      </c>
      <c r="E8" s="14">
        <v>11.225199999999999</v>
      </c>
      <c r="F8" s="14">
        <v>15.835699999999999</v>
      </c>
      <c r="G8" s="14">
        <v>19.487300000000001</v>
      </c>
      <c r="H8" s="14">
        <v>19.129200000000001</v>
      </c>
      <c r="I8" s="14">
        <v>21.756</v>
      </c>
      <c r="J8" s="14">
        <v>13.5114</v>
      </c>
      <c r="K8" s="14">
        <v>13.071400000000001</v>
      </c>
      <c r="L8" s="14">
        <v>34.495399999999997</v>
      </c>
      <c r="M8" s="14">
        <v>37.922899999999998</v>
      </c>
      <c r="N8" s="14">
        <v>29.2606</v>
      </c>
      <c r="O8" s="14">
        <v>14.3627</v>
      </c>
      <c r="P8" s="14">
        <v>24.259699999999999</v>
      </c>
      <c r="Q8" s="14">
        <v>46.730200000000004</v>
      </c>
      <c r="R8" s="17"/>
      <c r="S8" s="14"/>
      <c r="T8" s="14"/>
    </row>
    <row r="9" spans="1:20" x14ac:dyDescent="0.3">
      <c r="A9" s="10" t="s">
        <v>99</v>
      </c>
      <c r="B9" s="10" t="s">
        <v>100</v>
      </c>
      <c r="C9" s="14">
        <v>16.459900000000001</v>
      </c>
      <c r="D9" s="14">
        <v>8.0836000000000006</v>
      </c>
      <c r="E9" s="14">
        <v>7.4234</v>
      </c>
      <c r="F9" s="14">
        <v>9.9151000000000007</v>
      </c>
      <c r="G9" s="14">
        <v>13.9076</v>
      </c>
      <c r="H9" s="14">
        <v>14.599299999999999</v>
      </c>
      <c r="I9" s="14">
        <v>10.9503</v>
      </c>
      <c r="J9" s="14">
        <v>9.1610999999999994</v>
      </c>
      <c r="K9" s="14">
        <v>9.0177999999999994</v>
      </c>
      <c r="L9" s="14">
        <v>8.0548999999999999</v>
      </c>
      <c r="M9" s="14">
        <v>11.709099999999999</v>
      </c>
      <c r="N9" s="14">
        <v>12.4664</v>
      </c>
      <c r="O9" s="14">
        <v>9.1766000000000005</v>
      </c>
      <c r="P9" s="14">
        <v>8.6530000000000005</v>
      </c>
      <c r="Q9" s="14">
        <v>12.986000000000001</v>
      </c>
      <c r="R9" s="17"/>
      <c r="S9" s="14"/>
      <c r="T9" s="14"/>
    </row>
    <row r="10" spans="1:20" x14ac:dyDescent="0.3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21"/>
      <c r="S10" s="18"/>
      <c r="T10" s="18"/>
    </row>
    <row r="11" spans="1:20" x14ac:dyDescent="0.3">
      <c r="A11" s="6" t="s">
        <v>101</v>
      </c>
      <c r="B11" s="6" t="s">
        <v>102</v>
      </c>
      <c r="C11" s="20">
        <v>1.6205000000000001</v>
      </c>
      <c r="D11" s="20">
        <v>1.0896999999999999</v>
      </c>
      <c r="E11" s="20">
        <v>1.1204000000000001</v>
      </c>
      <c r="F11" s="20">
        <v>1.3403</v>
      </c>
      <c r="G11" s="20">
        <v>1.4702</v>
      </c>
      <c r="H11" s="20">
        <v>1.4542999999999999</v>
      </c>
      <c r="I11" s="20">
        <v>1.3445</v>
      </c>
      <c r="J11" s="20">
        <v>1.0888</v>
      </c>
      <c r="K11" s="20">
        <v>0.89810000000000001</v>
      </c>
      <c r="L11" s="20">
        <v>0.78810000000000002</v>
      </c>
      <c r="M11" s="20">
        <v>0.73699999999999999</v>
      </c>
      <c r="N11" s="20">
        <v>0.95009999999999994</v>
      </c>
      <c r="O11" s="20">
        <v>0.8175</v>
      </c>
      <c r="P11" s="20">
        <v>1.9744999999999999</v>
      </c>
      <c r="Q11" s="20">
        <v>5.6451000000000002</v>
      </c>
      <c r="R11" s="23">
        <v>4.0308596192156401</v>
      </c>
      <c r="S11" s="20">
        <v>3.4392351592311901</v>
      </c>
      <c r="T11" s="20">
        <v>2.8760468781756798</v>
      </c>
    </row>
    <row r="12" spans="1:20" x14ac:dyDescent="0.3">
      <c r="A12" s="10" t="s">
        <v>95</v>
      </c>
      <c r="B12" s="10" t="s">
        <v>103</v>
      </c>
      <c r="C12" s="14">
        <v>1.4463999999999999</v>
      </c>
      <c r="D12" s="14">
        <v>1.536</v>
      </c>
      <c r="E12" s="14">
        <v>1.1787000000000001</v>
      </c>
      <c r="F12" s="14">
        <v>1.3115000000000001</v>
      </c>
      <c r="G12" s="14">
        <v>1.3979999999999999</v>
      </c>
      <c r="H12" s="14">
        <v>1.4885999999999999</v>
      </c>
      <c r="I12" s="14">
        <v>1.4046000000000001</v>
      </c>
      <c r="J12" s="14">
        <v>1.4413</v>
      </c>
      <c r="K12" s="14">
        <v>1.1448</v>
      </c>
      <c r="L12" s="14">
        <v>0.78029999999999999</v>
      </c>
      <c r="M12" s="14">
        <v>0.65300000000000002</v>
      </c>
      <c r="N12" s="14">
        <v>0.81979999999999997</v>
      </c>
      <c r="O12" s="14">
        <v>0.91969999999999996</v>
      </c>
      <c r="P12" s="14">
        <v>1.3050999999999999</v>
      </c>
      <c r="Q12" s="14">
        <v>3.6728000000000001</v>
      </c>
      <c r="R12" s="17"/>
      <c r="S12" s="14"/>
      <c r="T12" s="14"/>
    </row>
    <row r="13" spans="1:20" x14ac:dyDescent="0.3">
      <c r="A13" s="10" t="s">
        <v>97</v>
      </c>
      <c r="B13" s="10" t="s">
        <v>104</v>
      </c>
      <c r="C13" s="14">
        <v>1.7423</v>
      </c>
      <c r="D13" s="14">
        <v>2.0026000000000002</v>
      </c>
      <c r="E13" s="14">
        <v>1.5132000000000001</v>
      </c>
      <c r="F13" s="14">
        <v>1.5615000000000001</v>
      </c>
      <c r="G13" s="14">
        <v>1.6494</v>
      </c>
      <c r="H13" s="14">
        <v>1.6907000000000001</v>
      </c>
      <c r="I13" s="14">
        <v>1.6539999999999999</v>
      </c>
      <c r="J13" s="14">
        <v>1.6589</v>
      </c>
      <c r="K13" s="14">
        <v>1.2912999999999999</v>
      </c>
      <c r="L13" s="14">
        <v>1.0164</v>
      </c>
      <c r="M13" s="14">
        <v>0.86639999999999995</v>
      </c>
      <c r="N13" s="14">
        <v>1.06</v>
      </c>
      <c r="O13" s="14">
        <v>1.0947</v>
      </c>
      <c r="P13" s="14">
        <v>2.1610999999999998</v>
      </c>
      <c r="Q13" s="14">
        <v>6.6673999999999998</v>
      </c>
      <c r="R13" s="17"/>
      <c r="S13" s="14"/>
      <c r="T13" s="14"/>
    </row>
    <row r="14" spans="1:20" x14ac:dyDescent="0.3">
      <c r="A14" s="10" t="s">
        <v>99</v>
      </c>
      <c r="B14" s="10" t="s">
        <v>105</v>
      </c>
      <c r="C14" s="14">
        <v>1.1832</v>
      </c>
      <c r="D14" s="14">
        <v>1.0896999999999999</v>
      </c>
      <c r="E14" s="14">
        <v>1.0006999999999999</v>
      </c>
      <c r="F14" s="14">
        <v>1.0533999999999999</v>
      </c>
      <c r="G14" s="14">
        <v>1.1771</v>
      </c>
      <c r="H14" s="14">
        <v>1.3243</v>
      </c>
      <c r="I14" s="14">
        <v>1.0931</v>
      </c>
      <c r="J14" s="14">
        <v>1.0888</v>
      </c>
      <c r="K14" s="14">
        <v>0.89090000000000003</v>
      </c>
      <c r="L14" s="14">
        <v>0.62839999999999996</v>
      </c>
      <c r="M14" s="14">
        <v>0.26750000000000002</v>
      </c>
      <c r="N14" s="14">
        <v>0.64570000000000005</v>
      </c>
      <c r="O14" s="14">
        <v>0.70479999999999998</v>
      </c>
      <c r="P14" s="14">
        <v>0.77080000000000004</v>
      </c>
      <c r="Q14" s="14">
        <v>1.8528</v>
      </c>
      <c r="R14" s="17"/>
      <c r="S14" s="14"/>
      <c r="T14" s="14"/>
    </row>
    <row r="15" spans="1:20" x14ac:dyDescent="0.3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21"/>
      <c r="S15" s="18"/>
      <c r="T15" s="18"/>
    </row>
    <row r="16" spans="1:20" x14ac:dyDescent="0.3">
      <c r="A16" s="6" t="s">
        <v>106</v>
      </c>
      <c r="B16" s="6" t="s">
        <v>107</v>
      </c>
      <c r="C16" s="20">
        <v>1.6837</v>
      </c>
      <c r="D16" s="20">
        <v>1.1556</v>
      </c>
      <c r="E16" s="20">
        <v>1.2254</v>
      </c>
      <c r="F16" s="20">
        <v>1.4482999999999999</v>
      </c>
      <c r="G16" s="20">
        <v>1.5302</v>
      </c>
      <c r="H16" s="20">
        <v>1.524</v>
      </c>
      <c r="I16" s="20">
        <v>1.3995</v>
      </c>
      <c r="J16" s="20">
        <v>1.1255999999999999</v>
      </c>
      <c r="K16" s="20">
        <v>1.4072</v>
      </c>
      <c r="L16" s="20">
        <v>1.179</v>
      </c>
      <c r="M16" s="20">
        <v>1.0585</v>
      </c>
      <c r="N16" s="20">
        <v>1.8367</v>
      </c>
      <c r="O16" s="20">
        <v>1.3587</v>
      </c>
      <c r="P16" s="20">
        <v>3.0918999999999999</v>
      </c>
      <c r="Q16" s="20">
        <v>8.5797000000000008</v>
      </c>
      <c r="R16" s="23">
        <v>6.1262603912087004</v>
      </c>
      <c r="S16" s="20"/>
      <c r="T16" s="20"/>
    </row>
    <row r="17" spans="1:20" x14ac:dyDescent="0.3">
      <c r="A17" s="10" t="s">
        <v>95</v>
      </c>
      <c r="B17" s="10" t="s">
        <v>108</v>
      </c>
      <c r="C17" s="14">
        <v>1.4787999999999999</v>
      </c>
      <c r="D17" s="14">
        <v>1.5960000000000001</v>
      </c>
      <c r="E17" s="14">
        <v>1.2502</v>
      </c>
      <c r="F17" s="14">
        <v>1.4342999999999999</v>
      </c>
      <c r="G17" s="14">
        <v>1.5104</v>
      </c>
      <c r="H17" s="14">
        <v>1.5494000000000001</v>
      </c>
      <c r="I17" s="14">
        <v>1.4719</v>
      </c>
      <c r="J17" s="14">
        <v>1.5002</v>
      </c>
      <c r="K17" s="14">
        <v>1.1854</v>
      </c>
      <c r="L17" s="14">
        <v>1.2223999999999999</v>
      </c>
      <c r="M17" s="14">
        <v>0.97660000000000002</v>
      </c>
      <c r="N17" s="14">
        <v>1.1794</v>
      </c>
      <c r="O17" s="14">
        <v>1.7768999999999999</v>
      </c>
      <c r="P17" s="14">
        <v>2.1684999999999999</v>
      </c>
      <c r="Q17" s="14">
        <v>5.7502000000000004</v>
      </c>
      <c r="R17" s="17"/>
      <c r="S17" s="14"/>
      <c r="T17" s="14"/>
    </row>
    <row r="18" spans="1:20" x14ac:dyDescent="0.3">
      <c r="A18" s="10" t="s">
        <v>97</v>
      </c>
      <c r="B18" s="10" t="s">
        <v>109</v>
      </c>
      <c r="C18" s="14">
        <v>1.7813000000000001</v>
      </c>
      <c r="D18" s="14">
        <v>2.0807000000000002</v>
      </c>
      <c r="E18" s="14">
        <v>1.6047</v>
      </c>
      <c r="F18" s="14">
        <v>1.7078</v>
      </c>
      <c r="G18" s="14">
        <v>1.7822</v>
      </c>
      <c r="H18" s="14">
        <v>1.7597</v>
      </c>
      <c r="I18" s="14">
        <v>1.7333000000000001</v>
      </c>
      <c r="J18" s="14">
        <v>1.7267999999999999</v>
      </c>
      <c r="K18" s="14">
        <v>1.4072</v>
      </c>
      <c r="L18" s="14">
        <v>1.5925</v>
      </c>
      <c r="M18" s="14">
        <v>1.2961</v>
      </c>
      <c r="N18" s="14">
        <v>1.8367</v>
      </c>
      <c r="O18" s="14">
        <v>2.1160999999999999</v>
      </c>
      <c r="P18" s="14">
        <v>3.5920000000000001</v>
      </c>
      <c r="Q18" s="14">
        <v>10.440300000000001</v>
      </c>
      <c r="R18" s="17"/>
      <c r="S18" s="14"/>
      <c r="T18" s="14"/>
    </row>
    <row r="19" spans="1:20" x14ac:dyDescent="0.3">
      <c r="A19" s="10" t="s">
        <v>99</v>
      </c>
      <c r="B19" s="10" t="s">
        <v>110</v>
      </c>
      <c r="C19" s="14">
        <v>1.2097</v>
      </c>
      <c r="D19" s="14">
        <v>1.1556</v>
      </c>
      <c r="E19" s="14">
        <v>1.0611999999999999</v>
      </c>
      <c r="F19" s="14">
        <v>1.1520999999999999</v>
      </c>
      <c r="G19" s="14">
        <v>1.2719</v>
      </c>
      <c r="H19" s="14">
        <v>1.3783000000000001</v>
      </c>
      <c r="I19" s="14">
        <v>1.1455</v>
      </c>
      <c r="J19" s="14">
        <v>1.1255999999999999</v>
      </c>
      <c r="K19" s="14">
        <v>0.92100000000000004</v>
      </c>
      <c r="L19" s="14">
        <v>0.98470000000000002</v>
      </c>
      <c r="M19" s="14">
        <v>0.4002</v>
      </c>
      <c r="N19" s="14">
        <v>0.92730000000000001</v>
      </c>
      <c r="O19" s="14">
        <v>1.3587</v>
      </c>
      <c r="P19" s="14">
        <v>1.2811999999999999</v>
      </c>
      <c r="Q19" s="14">
        <v>2.9013</v>
      </c>
      <c r="R19" s="17"/>
      <c r="S19" s="14"/>
      <c r="T19" s="14"/>
    </row>
    <row r="20" spans="1:20" x14ac:dyDescent="0.3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21"/>
      <c r="S20" s="18"/>
      <c r="T20" s="18"/>
    </row>
    <row r="21" spans="1:20" x14ac:dyDescent="0.3">
      <c r="A21" s="6" t="s">
        <v>111</v>
      </c>
      <c r="B21" s="6" t="s">
        <v>112</v>
      </c>
      <c r="C21" s="20">
        <v>0.33879999999999999</v>
      </c>
      <c r="D21" s="20">
        <v>0.22090000000000001</v>
      </c>
      <c r="E21" s="20">
        <v>0.26</v>
      </c>
      <c r="F21" s="20">
        <v>0.32869999999999999</v>
      </c>
      <c r="G21" s="20">
        <v>0.37230000000000002</v>
      </c>
      <c r="H21" s="20">
        <v>0.30570000000000003</v>
      </c>
      <c r="I21" s="20">
        <v>0.27879999999999999</v>
      </c>
      <c r="J21" s="20">
        <v>0.24510000000000001</v>
      </c>
      <c r="K21" s="20">
        <v>0.1845</v>
      </c>
      <c r="L21" s="20">
        <v>0.18459999999999999</v>
      </c>
      <c r="M21" s="20">
        <v>0.1807</v>
      </c>
      <c r="N21" s="20">
        <v>0.25069999999999998</v>
      </c>
      <c r="O21" s="20">
        <v>0.19209999999999999</v>
      </c>
      <c r="P21" s="20">
        <v>0.44330000000000003</v>
      </c>
      <c r="Q21" s="20">
        <v>1.1287</v>
      </c>
      <c r="R21" s="23">
        <v>0.80540533396320502</v>
      </c>
      <c r="S21" s="20">
        <v>0.70027680152262395</v>
      </c>
      <c r="T21" s="20">
        <v>0.59814070233072103</v>
      </c>
    </row>
    <row r="22" spans="1:20" x14ac:dyDescent="0.3">
      <c r="A22" s="10" t="s">
        <v>95</v>
      </c>
      <c r="B22" s="10" t="s">
        <v>113</v>
      </c>
      <c r="C22" s="14">
        <v>0.35020000000000001</v>
      </c>
      <c r="D22" s="14">
        <v>0.3211</v>
      </c>
      <c r="E22" s="14">
        <v>0.23910000000000001</v>
      </c>
      <c r="F22" s="14">
        <v>0.30449999999999999</v>
      </c>
      <c r="G22" s="14">
        <v>0.34289999999999998</v>
      </c>
      <c r="H22" s="14">
        <v>0.37669999999999998</v>
      </c>
      <c r="I22" s="14">
        <v>0.29520000000000002</v>
      </c>
      <c r="J22" s="14">
        <v>0.2989</v>
      </c>
      <c r="K22" s="14">
        <v>0.2576</v>
      </c>
      <c r="L22" s="14">
        <v>0.16039999999999999</v>
      </c>
      <c r="M22" s="14">
        <v>0.153</v>
      </c>
      <c r="N22" s="14">
        <v>0.20100000000000001</v>
      </c>
      <c r="O22" s="14">
        <v>0.24249999999999999</v>
      </c>
      <c r="P22" s="14">
        <v>0.30669999999999997</v>
      </c>
      <c r="Q22" s="14">
        <v>0.82410000000000005</v>
      </c>
      <c r="R22" s="17"/>
      <c r="S22" s="14"/>
      <c r="T22" s="14"/>
    </row>
    <row r="23" spans="1:20" x14ac:dyDescent="0.3">
      <c r="A23" s="10" t="s">
        <v>97</v>
      </c>
      <c r="B23" s="10" t="s">
        <v>114</v>
      </c>
      <c r="C23" s="14">
        <v>0.42649999999999999</v>
      </c>
      <c r="D23" s="14">
        <v>0.43519999999999998</v>
      </c>
      <c r="E23" s="14">
        <v>0.31040000000000001</v>
      </c>
      <c r="F23" s="14">
        <v>0.36859999999999998</v>
      </c>
      <c r="G23" s="14">
        <v>0.41210000000000002</v>
      </c>
      <c r="H23" s="14">
        <v>0.42909999999999998</v>
      </c>
      <c r="I23" s="14">
        <v>0.3483</v>
      </c>
      <c r="J23" s="14">
        <v>0.35060000000000002</v>
      </c>
      <c r="K23" s="14">
        <v>0.29320000000000002</v>
      </c>
      <c r="L23" s="14">
        <v>0.20910000000000001</v>
      </c>
      <c r="M23" s="14">
        <v>0.20630000000000001</v>
      </c>
      <c r="N23" s="14">
        <v>0.26679999999999998</v>
      </c>
      <c r="O23" s="14">
        <v>0.3014</v>
      </c>
      <c r="P23" s="14">
        <v>0.51670000000000005</v>
      </c>
      <c r="Q23" s="14">
        <v>1.5174000000000001</v>
      </c>
      <c r="R23" s="17"/>
      <c r="S23" s="14"/>
      <c r="T23" s="14"/>
    </row>
    <row r="24" spans="1:20" x14ac:dyDescent="0.3">
      <c r="A24" s="10" t="s">
        <v>99</v>
      </c>
      <c r="B24" s="10" t="s">
        <v>115</v>
      </c>
      <c r="C24" s="14">
        <v>0.28039999999999998</v>
      </c>
      <c r="D24" s="14">
        <v>0.22059999999999999</v>
      </c>
      <c r="E24" s="14">
        <v>0.19850000000000001</v>
      </c>
      <c r="F24" s="14">
        <v>0.24390000000000001</v>
      </c>
      <c r="G24" s="14">
        <v>0.28670000000000001</v>
      </c>
      <c r="H24" s="14">
        <v>0.3049</v>
      </c>
      <c r="I24" s="14">
        <v>0.22289999999999999</v>
      </c>
      <c r="J24" s="14">
        <v>0.23089999999999999</v>
      </c>
      <c r="K24" s="14">
        <v>0.1827</v>
      </c>
      <c r="L24" s="14">
        <v>0.12479999999999999</v>
      </c>
      <c r="M24" s="14">
        <v>5.8500000000000003E-2</v>
      </c>
      <c r="N24" s="14">
        <v>0.15790000000000001</v>
      </c>
      <c r="O24" s="14">
        <v>0.1845</v>
      </c>
      <c r="P24" s="14">
        <v>0.1787</v>
      </c>
      <c r="Q24" s="14">
        <v>0.40239999999999998</v>
      </c>
      <c r="R24" s="17"/>
      <c r="S24" s="14"/>
      <c r="T24" s="14"/>
    </row>
    <row r="25" spans="1:20" x14ac:dyDescent="0.3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21"/>
      <c r="S25" s="18"/>
      <c r="T25" s="18"/>
    </row>
    <row r="26" spans="1:20" x14ac:dyDescent="0.3">
      <c r="A26" s="6" t="s">
        <v>116</v>
      </c>
      <c r="B26" s="6" t="s">
        <v>117</v>
      </c>
      <c r="C26" s="20">
        <v>13.326499999999999</v>
      </c>
      <c r="D26" s="20">
        <v>8.1183999999999994</v>
      </c>
      <c r="E26" s="20">
        <v>5.4161999999999999</v>
      </c>
      <c r="F26" s="20">
        <v>12.7517</v>
      </c>
      <c r="G26" s="20">
        <v>8.6814</v>
      </c>
      <c r="H26" s="20">
        <v>8.7817000000000007</v>
      </c>
      <c r="I26" s="20">
        <v>9.6789000000000005</v>
      </c>
      <c r="J26" s="20">
        <v>11.8551</v>
      </c>
      <c r="K26" s="20">
        <v>36.970999999999997</v>
      </c>
      <c r="L26" s="20">
        <v>3.1511</v>
      </c>
      <c r="M26" s="20">
        <v>4.3339999999999996</v>
      </c>
      <c r="N26" s="20">
        <v>6.2272999999999996</v>
      </c>
      <c r="O26" s="20">
        <v>4.6757999999999997</v>
      </c>
      <c r="P26" s="20">
        <v>10.8193</v>
      </c>
      <c r="Q26" s="20">
        <v>22.974299999999999</v>
      </c>
      <c r="R26" s="23">
        <v>14.322861238899099</v>
      </c>
      <c r="S26" s="20">
        <v>10.7087946880893</v>
      </c>
      <c r="T26" s="20">
        <v>9.9032587554814206</v>
      </c>
    </row>
    <row r="27" spans="1:20" x14ac:dyDescent="0.3">
      <c r="A27" s="10" t="s">
        <v>95</v>
      </c>
      <c r="B27" s="10" t="s">
        <v>118</v>
      </c>
      <c r="C27" s="14">
        <v>7.2934000000000001</v>
      </c>
      <c r="D27" s="14">
        <v>12.628399999999999</v>
      </c>
      <c r="E27" s="14">
        <v>8.7698999999999998</v>
      </c>
      <c r="F27" s="14">
        <v>6.3651999999999997</v>
      </c>
      <c r="G27" s="14">
        <v>13.279500000000001</v>
      </c>
      <c r="H27" s="14">
        <v>8.7910000000000004</v>
      </c>
      <c r="I27" s="14">
        <v>8.4877000000000002</v>
      </c>
      <c r="J27" s="14">
        <v>10.3918</v>
      </c>
      <c r="K27" s="14">
        <v>12.572900000000001</v>
      </c>
      <c r="L27" s="14">
        <v>32.006599999999999</v>
      </c>
      <c r="M27" s="14">
        <v>2.6162000000000001</v>
      </c>
      <c r="N27" s="14">
        <v>4.8236999999999997</v>
      </c>
      <c r="O27" s="14">
        <v>6.0247999999999999</v>
      </c>
      <c r="P27" s="14">
        <v>7.4631999999999996</v>
      </c>
      <c r="Q27" s="14">
        <v>20.093299999999999</v>
      </c>
      <c r="R27" s="17"/>
      <c r="S27" s="14"/>
      <c r="T27" s="14"/>
    </row>
    <row r="28" spans="1:20" x14ac:dyDescent="0.3">
      <c r="A28" s="10" t="s">
        <v>97</v>
      </c>
      <c r="B28" s="10" t="s">
        <v>119</v>
      </c>
      <c r="C28" s="14">
        <v>13.326499999999999</v>
      </c>
      <c r="D28" s="14">
        <v>16.468900000000001</v>
      </c>
      <c r="E28" s="14">
        <v>11.273400000000001</v>
      </c>
      <c r="F28" s="14">
        <v>12.7516</v>
      </c>
      <c r="G28" s="14">
        <v>15.6921</v>
      </c>
      <c r="H28" s="14">
        <v>9.9835999999999991</v>
      </c>
      <c r="I28" s="14">
        <v>9.9876000000000005</v>
      </c>
      <c r="J28" s="14">
        <v>11.9427</v>
      </c>
      <c r="K28" s="14">
        <v>36.970999999999997</v>
      </c>
      <c r="L28" s="14">
        <v>41.839300000000001</v>
      </c>
      <c r="M28" s="14">
        <v>4.3339999999999996</v>
      </c>
      <c r="N28" s="14">
        <v>6.2337999999999996</v>
      </c>
      <c r="O28" s="14">
        <v>7.1745000000000001</v>
      </c>
      <c r="P28" s="14">
        <v>12.3611</v>
      </c>
      <c r="Q28" s="14">
        <v>36.533299999999997</v>
      </c>
      <c r="R28" s="17"/>
      <c r="S28" s="14"/>
      <c r="T28" s="14"/>
    </row>
    <row r="29" spans="1:20" x14ac:dyDescent="0.3">
      <c r="A29" s="10" t="s">
        <v>99</v>
      </c>
      <c r="B29" s="10" t="s">
        <v>120</v>
      </c>
      <c r="C29" s="14">
        <v>5.9496000000000002</v>
      </c>
      <c r="D29" s="14">
        <v>8.1183999999999994</v>
      </c>
      <c r="E29" s="14">
        <v>5.4161999999999999</v>
      </c>
      <c r="F29" s="14">
        <v>5.0923999999999996</v>
      </c>
      <c r="G29" s="14">
        <v>8.6814</v>
      </c>
      <c r="H29" s="14">
        <v>7.8197999999999999</v>
      </c>
      <c r="I29" s="14">
        <v>6.6003999999999996</v>
      </c>
      <c r="J29" s="14">
        <v>8.0974000000000004</v>
      </c>
      <c r="K29" s="14">
        <v>9.6997</v>
      </c>
      <c r="L29" s="14">
        <v>3.1511</v>
      </c>
      <c r="M29" s="14">
        <v>1.0696000000000001</v>
      </c>
      <c r="N29" s="14">
        <v>3.7968000000000002</v>
      </c>
      <c r="O29" s="14">
        <v>4.6195000000000004</v>
      </c>
      <c r="P29" s="14">
        <v>4.4089999999999998</v>
      </c>
      <c r="Q29" s="14">
        <v>10.1523</v>
      </c>
      <c r="R29" s="17"/>
      <c r="S29" s="14"/>
      <c r="T29" s="14"/>
    </row>
    <row r="30" spans="1:20" x14ac:dyDescent="0.3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21"/>
      <c r="S30" s="18"/>
      <c r="T30" s="18"/>
    </row>
    <row r="31" spans="1:20" x14ac:dyDescent="0.3">
      <c r="A31" s="6" t="s">
        <v>121</v>
      </c>
      <c r="B31" s="6" t="s">
        <v>122</v>
      </c>
      <c r="C31" s="20">
        <v>21.035900000000002</v>
      </c>
      <c r="D31" s="20">
        <v>11.892799999999999</v>
      </c>
      <c r="E31" s="20">
        <v>8.1938999999999993</v>
      </c>
      <c r="F31" s="20">
        <v>19.721499999999999</v>
      </c>
      <c r="G31" s="20">
        <v>11.6347</v>
      </c>
      <c r="H31" s="20">
        <v>12.912699999999999</v>
      </c>
      <c r="I31" s="20">
        <v>15.3604</v>
      </c>
      <c r="J31" s="20">
        <v>61.704700000000003</v>
      </c>
      <c r="K31" s="20" t="s">
        <v>65</v>
      </c>
      <c r="L31" s="20">
        <v>4.1101000000000001</v>
      </c>
      <c r="M31" s="20">
        <v>5.5590000000000002</v>
      </c>
      <c r="N31" s="20">
        <v>8.0890000000000004</v>
      </c>
      <c r="O31" s="20">
        <v>7.3738000000000001</v>
      </c>
      <c r="P31" s="20">
        <v>17.549700000000001</v>
      </c>
      <c r="Q31" s="20">
        <v>35.932400000000001</v>
      </c>
      <c r="R31" s="23">
        <v>20.914861252908398</v>
      </c>
      <c r="S31" s="20"/>
      <c r="T31" s="20"/>
    </row>
    <row r="32" spans="1:20" x14ac:dyDescent="0.3">
      <c r="A32" s="10" t="s">
        <v>95</v>
      </c>
      <c r="B32" s="10" t="s">
        <v>123</v>
      </c>
      <c r="C32" s="14">
        <v>9.9128000000000007</v>
      </c>
      <c r="D32" s="14">
        <v>19.930099999999999</v>
      </c>
      <c r="E32" s="14">
        <v>12.8482</v>
      </c>
      <c r="F32" s="14">
        <v>9.6311999999999998</v>
      </c>
      <c r="G32" s="14">
        <v>20.5307</v>
      </c>
      <c r="H32" s="14">
        <v>11.786099999999999</v>
      </c>
      <c r="I32" s="14">
        <v>12.484999999999999</v>
      </c>
      <c r="J32" s="14">
        <v>16.6633</v>
      </c>
      <c r="K32" s="14">
        <v>64.932900000000004</v>
      </c>
      <c r="L32" s="14">
        <v>4.1101000000000001</v>
      </c>
      <c r="M32" s="14">
        <v>3.4121000000000001</v>
      </c>
      <c r="N32" s="14">
        <v>6.1875</v>
      </c>
      <c r="O32" s="14">
        <v>7.8311999999999999</v>
      </c>
      <c r="P32" s="14">
        <v>11.771599999999999</v>
      </c>
      <c r="Q32" s="14">
        <v>32.587600000000002</v>
      </c>
      <c r="R32" s="17"/>
      <c r="S32" s="14"/>
      <c r="T32" s="14"/>
    </row>
    <row r="33" spans="1:20" x14ac:dyDescent="0.3">
      <c r="A33" s="10" t="s">
        <v>97</v>
      </c>
      <c r="B33" s="10" t="s">
        <v>124</v>
      </c>
      <c r="C33" s="14">
        <v>21.035900000000002</v>
      </c>
      <c r="D33" s="14">
        <v>25.996099999999998</v>
      </c>
      <c r="E33" s="14">
        <v>16.514800000000001</v>
      </c>
      <c r="F33" s="14">
        <v>19.721499999999999</v>
      </c>
      <c r="G33" s="14">
        <v>24.269200000000001</v>
      </c>
      <c r="H33" s="14">
        <v>13.379799999999999</v>
      </c>
      <c r="I33" s="14">
        <v>15.3604</v>
      </c>
      <c r="J33" s="14">
        <v>61.704700000000003</v>
      </c>
      <c r="K33" s="14">
        <v>73.180000000000007</v>
      </c>
      <c r="L33" s="14">
        <v>4.1101000000000001</v>
      </c>
      <c r="M33" s="14">
        <v>5.5590000000000002</v>
      </c>
      <c r="N33" s="14">
        <v>8.0890000000000004</v>
      </c>
      <c r="O33" s="14">
        <v>9.3193999999999999</v>
      </c>
      <c r="P33" s="14">
        <v>19.4937</v>
      </c>
      <c r="Q33" s="14">
        <v>59.259900000000002</v>
      </c>
      <c r="R33" s="17"/>
      <c r="S33" s="14"/>
      <c r="T33" s="14"/>
    </row>
    <row r="34" spans="1:20" x14ac:dyDescent="0.3">
      <c r="A34" s="10" t="s">
        <v>99</v>
      </c>
      <c r="B34" s="10" t="s">
        <v>125</v>
      </c>
      <c r="C34" s="14">
        <v>8.0769000000000002</v>
      </c>
      <c r="D34" s="14">
        <v>11.892799999999999</v>
      </c>
      <c r="E34" s="14">
        <v>8.1938999999999993</v>
      </c>
      <c r="F34" s="14">
        <v>7.7039</v>
      </c>
      <c r="G34" s="14">
        <v>11.6347</v>
      </c>
      <c r="H34" s="14">
        <v>10.479900000000001</v>
      </c>
      <c r="I34" s="14">
        <v>9.7052999999999994</v>
      </c>
      <c r="J34" s="14">
        <v>12.8506</v>
      </c>
      <c r="K34" s="14">
        <v>50.4861</v>
      </c>
      <c r="L34" s="14">
        <v>4.1101000000000001</v>
      </c>
      <c r="M34" s="14">
        <v>1.3951</v>
      </c>
      <c r="N34" s="14">
        <v>4.87</v>
      </c>
      <c r="O34" s="14">
        <v>6.0004999999999997</v>
      </c>
      <c r="P34" s="14">
        <v>6.9531000000000001</v>
      </c>
      <c r="Q34" s="14">
        <v>16.4679</v>
      </c>
      <c r="R34" s="17"/>
      <c r="S34" s="14"/>
      <c r="T34" s="14"/>
    </row>
    <row r="35" spans="1:20" x14ac:dyDescent="0.3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21"/>
      <c r="S35" s="18"/>
      <c r="T35" s="18"/>
    </row>
    <row r="36" spans="1:20" x14ac:dyDescent="0.3">
      <c r="A36" s="6" t="s">
        <v>57</v>
      </c>
      <c r="B36" s="6" t="s">
        <v>58</v>
      </c>
      <c r="C36" s="20">
        <v>0.22159999999999999</v>
      </c>
      <c r="D36" s="20">
        <v>0.1298</v>
      </c>
      <c r="E36" s="20">
        <v>0.15160000000000001</v>
      </c>
      <c r="F36" s="20">
        <v>0.2303</v>
      </c>
      <c r="G36" s="20">
        <v>0.26379999999999998</v>
      </c>
      <c r="H36" s="20">
        <v>0.23430000000000001</v>
      </c>
      <c r="I36" s="20">
        <v>0.22489999999999999</v>
      </c>
      <c r="J36" s="20">
        <v>0.1923</v>
      </c>
      <c r="K36" s="20">
        <v>0.23100000000000001</v>
      </c>
      <c r="L36" s="20">
        <v>0.21879999999999999</v>
      </c>
      <c r="M36" s="20">
        <v>0.2019</v>
      </c>
      <c r="N36" s="20">
        <v>0.31780000000000003</v>
      </c>
      <c r="O36" s="20">
        <v>0.24590000000000001</v>
      </c>
      <c r="P36" s="20">
        <v>0.47760000000000002</v>
      </c>
      <c r="Q36" s="20">
        <v>1.1483000000000001</v>
      </c>
      <c r="R36" s="23">
        <v>0.82896584480837099</v>
      </c>
      <c r="S36" s="20">
        <v>0.73457953324356395</v>
      </c>
      <c r="T36" s="20">
        <v>0.62744034498461498</v>
      </c>
    </row>
    <row r="37" spans="1:20" x14ac:dyDescent="0.3">
      <c r="A37" s="10" t="s">
        <v>95</v>
      </c>
      <c r="B37" s="10" t="s">
        <v>126</v>
      </c>
      <c r="C37" s="14">
        <v>0.2006</v>
      </c>
      <c r="D37" s="14">
        <v>0.18049999999999999</v>
      </c>
      <c r="E37" s="14">
        <v>0.1188</v>
      </c>
      <c r="F37" s="14">
        <v>0.16930000000000001</v>
      </c>
      <c r="G37" s="14">
        <v>0.2089</v>
      </c>
      <c r="H37" s="14">
        <v>0.2044</v>
      </c>
      <c r="I37" s="14">
        <v>0.18540000000000001</v>
      </c>
      <c r="J37" s="14">
        <v>0.2079</v>
      </c>
      <c r="K37" s="14">
        <v>0.1711</v>
      </c>
      <c r="L37" s="14">
        <v>0.1825</v>
      </c>
      <c r="M37" s="14">
        <v>0.16489999999999999</v>
      </c>
      <c r="N37" s="14">
        <v>0.19120000000000001</v>
      </c>
      <c r="O37" s="14">
        <v>0.27039999999999997</v>
      </c>
      <c r="P37" s="14">
        <v>0.33210000000000001</v>
      </c>
      <c r="Q37" s="14">
        <v>0.84670000000000001</v>
      </c>
      <c r="R37" s="17"/>
      <c r="S37" s="14"/>
      <c r="T37" s="14"/>
    </row>
    <row r="38" spans="1:20" x14ac:dyDescent="0.3">
      <c r="A38" s="10" t="s">
        <v>97</v>
      </c>
      <c r="B38" s="10" t="s">
        <v>127</v>
      </c>
      <c r="C38" s="14">
        <v>0.2656</v>
      </c>
      <c r="D38" s="14">
        <v>0.2611</v>
      </c>
      <c r="E38" s="14">
        <v>0.1865</v>
      </c>
      <c r="F38" s="14">
        <v>0.23119999999999999</v>
      </c>
      <c r="G38" s="14">
        <v>0.26350000000000001</v>
      </c>
      <c r="H38" s="14">
        <v>0.25140000000000001</v>
      </c>
      <c r="I38" s="14">
        <v>0.2233</v>
      </c>
      <c r="J38" s="14">
        <v>0.24879999999999999</v>
      </c>
      <c r="K38" s="14">
        <v>0.20610000000000001</v>
      </c>
      <c r="L38" s="14">
        <v>0.22869999999999999</v>
      </c>
      <c r="M38" s="14">
        <v>0.20669999999999999</v>
      </c>
      <c r="N38" s="14">
        <v>0.28100000000000003</v>
      </c>
      <c r="O38" s="14">
        <v>0.31269999999999998</v>
      </c>
      <c r="P38" s="14">
        <v>0.54879999999999995</v>
      </c>
      <c r="Q38" s="14">
        <v>1.4859</v>
      </c>
      <c r="R38" s="17"/>
      <c r="S38" s="14"/>
      <c r="T38" s="14"/>
    </row>
    <row r="39" spans="1:20" x14ac:dyDescent="0.3">
      <c r="A39" s="10" t="s">
        <v>99</v>
      </c>
      <c r="B39" s="10" t="s">
        <v>128</v>
      </c>
      <c r="C39" s="14">
        <v>0.14680000000000001</v>
      </c>
      <c r="D39" s="14">
        <v>0.1104</v>
      </c>
      <c r="E39" s="14">
        <v>7.6899999999999996E-2</v>
      </c>
      <c r="F39" s="14">
        <v>0.1196</v>
      </c>
      <c r="G39" s="14">
        <v>0.1658</v>
      </c>
      <c r="H39" s="14">
        <v>0.1484</v>
      </c>
      <c r="I39" s="14">
        <v>0.1366</v>
      </c>
      <c r="J39" s="14">
        <v>0.1512</v>
      </c>
      <c r="K39" s="14">
        <v>0.11799999999999999</v>
      </c>
      <c r="L39" s="14">
        <v>0.15359999999999999</v>
      </c>
      <c r="M39" s="14">
        <v>8.5900000000000004E-2</v>
      </c>
      <c r="N39" s="14">
        <v>0.15559999999999999</v>
      </c>
      <c r="O39" s="14">
        <v>0.21779999999999999</v>
      </c>
      <c r="P39" s="14">
        <v>0.20630000000000001</v>
      </c>
      <c r="Q39" s="14">
        <v>0.44969999999999999</v>
      </c>
      <c r="R39" s="17"/>
      <c r="S39" s="14"/>
      <c r="T39" s="14"/>
    </row>
    <row r="40" spans="1:20" x14ac:dyDescent="0.3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21"/>
      <c r="S40" s="18"/>
      <c r="T40" s="18"/>
    </row>
    <row r="41" spans="1:20" x14ac:dyDescent="0.3">
      <c r="A41" s="6" t="s">
        <v>59</v>
      </c>
      <c r="B41" s="6" t="s">
        <v>60</v>
      </c>
      <c r="C41" s="20">
        <v>6.7796000000000003</v>
      </c>
      <c r="D41" s="20">
        <v>3.327</v>
      </c>
      <c r="E41" s="20">
        <v>5.0048000000000004</v>
      </c>
      <c r="F41" s="20">
        <v>6.5018000000000002</v>
      </c>
      <c r="G41" s="20">
        <v>7.5648</v>
      </c>
      <c r="H41" s="20">
        <v>7.1913</v>
      </c>
      <c r="I41" s="20">
        <v>5.8244999999999996</v>
      </c>
      <c r="J41" s="20">
        <v>5.3760000000000003</v>
      </c>
      <c r="K41" s="20">
        <v>7.8425000000000002</v>
      </c>
      <c r="L41" s="20">
        <v>4.5243000000000002</v>
      </c>
      <c r="M41" s="20">
        <v>4.5942999999999996</v>
      </c>
      <c r="N41" s="20">
        <v>6.09</v>
      </c>
      <c r="O41" s="20">
        <v>4.3692000000000002</v>
      </c>
      <c r="P41" s="20">
        <v>8.1044999999999998</v>
      </c>
      <c r="Q41" s="20">
        <v>14.745100000000001</v>
      </c>
      <c r="R41" s="23">
        <v>10.6445747324568</v>
      </c>
      <c r="S41" s="20">
        <v>9.0969340159271894</v>
      </c>
      <c r="T41" s="20">
        <v>7.5464373348433398</v>
      </c>
    </row>
    <row r="42" spans="1:20" x14ac:dyDescent="0.3">
      <c r="A42" s="10" t="s">
        <v>95</v>
      </c>
      <c r="B42" s="10" t="s">
        <v>129</v>
      </c>
      <c r="C42" s="14">
        <v>6.2416</v>
      </c>
      <c r="D42" s="14">
        <v>5.5206</v>
      </c>
      <c r="E42" s="14">
        <v>3.0488</v>
      </c>
      <c r="F42" s="14">
        <v>5.5867000000000004</v>
      </c>
      <c r="G42" s="14">
        <v>5.8983999999999996</v>
      </c>
      <c r="H42" s="14">
        <v>5.8628999999999998</v>
      </c>
      <c r="I42" s="14">
        <v>5.6875</v>
      </c>
      <c r="J42" s="14">
        <v>5.3856000000000002</v>
      </c>
      <c r="K42" s="14">
        <v>4.7881</v>
      </c>
      <c r="L42" s="14">
        <v>6.1866000000000003</v>
      </c>
      <c r="M42" s="14">
        <v>3.4114</v>
      </c>
      <c r="N42" s="14">
        <v>4.3474000000000004</v>
      </c>
      <c r="O42" s="14">
        <v>5.1809000000000003</v>
      </c>
      <c r="P42" s="14">
        <v>5.8983999999999996</v>
      </c>
      <c r="Q42" s="14">
        <v>14.350899999999999</v>
      </c>
      <c r="R42" s="17"/>
      <c r="S42" s="14"/>
      <c r="T42" s="14"/>
    </row>
    <row r="43" spans="1:20" x14ac:dyDescent="0.3">
      <c r="A43" s="10" t="s">
        <v>97</v>
      </c>
      <c r="B43" s="10" t="s">
        <v>130</v>
      </c>
      <c r="C43" s="14">
        <v>8.2629999999999999</v>
      </c>
      <c r="D43" s="14">
        <v>7.9894999999999996</v>
      </c>
      <c r="E43" s="14">
        <v>4.7815000000000003</v>
      </c>
      <c r="F43" s="14">
        <v>7.6334</v>
      </c>
      <c r="G43" s="14">
        <v>7.4386999999999999</v>
      </c>
      <c r="H43" s="14">
        <v>7.2091000000000003</v>
      </c>
      <c r="I43" s="14">
        <v>6.8548</v>
      </c>
      <c r="J43" s="14">
        <v>6.444</v>
      </c>
      <c r="K43" s="14">
        <v>6.9972000000000003</v>
      </c>
      <c r="L43" s="14">
        <v>7.7652999999999999</v>
      </c>
      <c r="M43" s="14">
        <v>4.2751999999999999</v>
      </c>
      <c r="N43" s="14">
        <v>5.3852000000000002</v>
      </c>
      <c r="O43" s="14">
        <v>5.9924999999999997</v>
      </c>
      <c r="P43" s="14">
        <v>9.7497000000000007</v>
      </c>
      <c r="Q43" s="14">
        <v>25.2164</v>
      </c>
      <c r="R43" s="17"/>
      <c r="S43" s="14"/>
      <c r="T43" s="14"/>
    </row>
    <row r="44" spans="1:20" x14ac:dyDescent="0.3">
      <c r="A44" s="10" t="s">
        <v>99</v>
      </c>
      <c r="B44" s="10" t="s">
        <v>131</v>
      </c>
      <c r="C44" s="14">
        <v>4.5675999999999997</v>
      </c>
      <c r="D44" s="14">
        <v>2.8294999999999999</v>
      </c>
      <c r="E44" s="14">
        <v>1.9714</v>
      </c>
      <c r="F44" s="14">
        <v>3.9483999999999999</v>
      </c>
      <c r="G44" s="14">
        <v>4.6818</v>
      </c>
      <c r="H44" s="14">
        <v>4.2549999999999999</v>
      </c>
      <c r="I44" s="14">
        <v>4.1924000000000001</v>
      </c>
      <c r="J44" s="14">
        <v>3.9167000000000001</v>
      </c>
      <c r="K44" s="14">
        <v>3.3005</v>
      </c>
      <c r="L44" s="14">
        <v>3.9712000000000001</v>
      </c>
      <c r="M44" s="14">
        <v>1.7767999999999999</v>
      </c>
      <c r="N44" s="14">
        <v>3.5402999999999998</v>
      </c>
      <c r="O44" s="14">
        <v>3.8692000000000002</v>
      </c>
      <c r="P44" s="14">
        <v>3.6657000000000002</v>
      </c>
      <c r="Q44" s="14">
        <v>7.6319999999999997</v>
      </c>
      <c r="R44" s="17"/>
      <c r="S44" s="14"/>
      <c r="T44" s="14"/>
    </row>
    <row r="45" spans="1:20" x14ac:dyDescent="0.3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21"/>
      <c r="S45" s="18"/>
      <c r="T45" s="18"/>
    </row>
    <row r="46" spans="1:20" x14ac:dyDescent="0.3">
      <c r="A46" s="6" t="s">
        <v>61</v>
      </c>
      <c r="B46" s="6" t="s">
        <v>62</v>
      </c>
      <c r="C46" s="20">
        <v>11.4496</v>
      </c>
      <c r="D46" s="20">
        <v>4.5848000000000004</v>
      </c>
      <c r="E46" s="20">
        <v>8.5480999999999998</v>
      </c>
      <c r="F46" s="20">
        <v>9.9911999999999992</v>
      </c>
      <c r="G46" s="20">
        <v>11.634499999999999</v>
      </c>
      <c r="H46" s="20">
        <v>11.4476</v>
      </c>
      <c r="I46" s="20">
        <v>8.6344999999999992</v>
      </c>
      <c r="J46" s="20">
        <v>8.2479999999999993</v>
      </c>
      <c r="K46" s="20">
        <v>14.4161</v>
      </c>
      <c r="L46" s="20">
        <v>8.6273999999999997</v>
      </c>
      <c r="M46" s="20">
        <v>9.0737000000000005</v>
      </c>
      <c r="N46" s="20">
        <v>10.676500000000001</v>
      </c>
      <c r="O46" s="20">
        <v>6.7721</v>
      </c>
      <c r="P46" s="20">
        <v>11.238</v>
      </c>
      <c r="Q46" s="20">
        <v>18.482500000000002</v>
      </c>
      <c r="R46" s="23">
        <v>13.342573901253999</v>
      </c>
      <c r="S46" s="20">
        <v>10.613998729726299</v>
      </c>
      <c r="T46" s="20">
        <v>8.8524781976451798</v>
      </c>
    </row>
    <row r="47" spans="1:20" x14ac:dyDescent="0.3">
      <c r="A47" s="10" t="s">
        <v>95</v>
      </c>
      <c r="B47" s="10" t="s">
        <v>132</v>
      </c>
      <c r="C47" s="14">
        <v>12.801</v>
      </c>
      <c r="D47" s="14">
        <v>9.3199000000000005</v>
      </c>
      <c r="E47" s="14">
        <v>4.2069999999999999</v>
      </c>
      <c r="F47" s="14">
        <v>9.5381</v>
      </c>
      <c r="G47" s="14">
        <v>9.0640000000000001</v>
      </c>
      <c r="H47" s="14">
        <v>9.0183999999999997</v>
      </c>
      <c r="I47" s="14">
        <v>9.0515000000000008</v>
      </c>
      <c r="J47" s="14">
        <v>7.9847999999999999</v>
      </c>
      <c r="K47" s="14">
        <v>7.3544999999999998</v>
      </c>
      <c r="L47" s="14">
        <v>11.3733</v>
      </c>
      <c r="M47" s="14">
        <v>6.5064000000000002</v>
      </c>
      <c r="N47" s="14">
        <v>8.5812000000000008</v>
      </c>
      <c r="O47" s="14">
        <v>9.0797000000000008</v>
      </c>
      <c r="P47" s="14">
        <v>9.1367999999999991</v>
      </c>
      <c r="Q47" s="14">
        <v>19.8917</v>
      </c>
      <c r="R47" s="17"/>
      <c r="S47" s="14"/>
      <c r="T47" s="14"/>
    </row>
    <row r="48" spans="1:20" x14ac:dyDescent="0.3">
      <c r="A48" s="10" t="s">
        <v>97</v>
      </c>
      <c r="B48" s="10" t="s">
        <v>133</v>
      </c>
      <c r="C48" s="14">
        <v>16.959</v>
      </c>
      <c r="D48" s="14">
        <v>13.493</v>
      </c>
      <c r="E48" s="14">
        <v>7.2191000000000001</v>
      </c>
      <c r="F48" s="14">
        <v>13.037599999999999</v>
      </c>
      <c r="G48" s="14">
        <v>11.430899999999999</v>
      </c>
      <c r="H48" s="14">
        <v>11.087400000000001</v>
      </c>
      <c r="I48" s="14">
        <v>10.911899999999999</v>
      </c>
      <c r="J48" s="14">
        <v>9.5528999999999993</v>
      </c>
      <c r="K48" s="14">
        <v>12.8621</v>
      </c>
      <c r="L48" s="14">
        <v>14.274100000000001</v>
      </c>
      <c r="M48" s="14">
        <v>8.1524000000000001</v>
      </c>
      <c r="N48" s="14">
        <v>10.566800000000001</v>
      </c>
      <c r="O48" s="14">
        <v>10.505699999999999</v>
      </c>
      <c r="P48" s="14">
        <v>15.111499999999999</v>
      </c>
      <c r="Q48" s="14">
        <v>34.966000000000001</v>
      </c>
      <c r="R48" s="17"/>
      <c r="S48" s="14"/>
      <c r="T48" s="14"/>
    </row>
    <row r="49" spans="1:20" x14ac:dyDescent="0.3">
      <c r="A49" s="10" t="s">
        <v>99</v>
      </c>
      <c r="B49" s="10" t="s">
        <v>134</v>
      </c>
      <c r="C49" s="14">
        <v>9.3744999999999994</v>
      </c>
      <c r="D49" s="14">
        <v>3.8993000000000002</v>
      </c>
      <c r="E49" s="14">
        <v>2.7166000000000001</v>
      </c>
      <c r="F49" s="14">
        <v>6.7438000000000002</v>
      </c>
      <c r="G49" s="14">
        <v>7.1943999999999999</v>
      </c>
      <c r="H49" s="14">
        <v>6.5441000000000003</v>
      </c>
      <c r="I49" s="14">
        <v>6.6737000000000002</v>
      </c>
      <c r="J49" s="14">
        <v>5.8063000000000002</v>
      </c>
      <c r="K49" s="14">
        <v>5.0637999999999996</v>
      </c>
      <c r="L49" s="14">
        <v>7.5726000000000004</v>
      </c>
      <c r="M49" s="14">
        <v>3.3881999999999999</v>
      </c>
      <c r="N49" s="14">
        <v>6.9920999999999998</v>
      </c>
      <c r="O49" s="14">
        <v>5.9969999999999999</v>
      </c>
      <c r="P49" s="14">
        <v>5.6816000000000004</v>
      </c>
      <c r="Q49" s="14">
        <v>10.5829</v>
      </c>
      <c r="R49" s="17"/>
      <c r="S49" s="14"/>
      <c r="T49" s="14"/>
    </row>
    <row r="50" spans="1:20" x14ac:dyDescent="0.3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21"/>
      <c r="S50" s="18"/>
      <c r="T50" s="18"/>
    </row>
    <row r="51" spans="1:20" x14ac:dyDescent="0.3">
      <c r="A51" s="6" t="s">
        <v>135</v>
      </c>
      <c r="B51" s="6" t="s">
        <v>136</v>
      </c>
      <c r="C51" s="20">
        <v>9.7053200000000004</v>
      </c>
      <c r="D51" s="20">
        <v>7.3677000000000001</v>
      </c>
      <c r="E51" s="20">
        <v>8.1113700000000009</v>
      </c>
      <c r="F51" s="20">
        <v>10.38766</v>
      </c>
      <c r="G51" s="20">
        <v>11.752039999999999</v>
      </c>
      <c r="H51" s="20">
        <v>11.06451</v>
      </c>
      <c r="I51" s="20">
        <v>11.829000000000001</v>
      </c>
      <c r="J51" s="20">
        <v>10.521269999999999</v>
      </c>
      <c r="K51" s="20">
        <v>8.7786299999999997</v>
      </c>
      <c r="L51" s="20">
        <v>8.2986599999999999</v>
      </c>
      <c r="M51" s="20">
        <v>8.0435499999999998</v>
      </c>
      <c r="N51" s="20">
        <v>11.147130000000001</v>
      </c>
      <c r="O51" s="20">
        <v>11.278639999999999</v>
      </c>
      <c r="P51" s="20">
        <v>29.385929999999998</v>
      </c>
      <c r="Q51" s="20">
        <v>92.189019999999999</v>
      </c>
      <c r="R51" s="23">
        <v>66.012244036309895</v>
      </c>
      <c r="S51" s="20"/>
      <c r="T51" s="20"/>
    </row>
    <row r="52" spans="1:20" x14ac:dyDescent="0.3">
      <c r="A52" s="10" t="s">
        <v>97</v>
      </c>
      <c r="B52" s="10" t="s">
        <v>137</v>
      </c>
      <c r="C52" s="14">
        <v>11.321680000000001</v>
      </c>
      <c r="D52" s="14">
        <v>12.46698</v>
      </c>
      <c r="E52" s="14">
        <v>10.352130000000001</v>
      </c>
      <c r="F52" s="14">
        <v>11.49826</v>
      </c>
      <c r="G52" s="14">
        <v>13.02408</v>
      </c>
      <c r="H52" s="14">
        <v>13.54579</v>
      </c>
      <c r="I52" s="14">
        <v>12.60623</v>
      </c>
      <c r="J52" s="14">
        <v>14.87548</v>
      </c>
      <c r="K52" s="14">
        <v>12.585430000000001</v>
      </c>
      <c r="L52" s="14">
        <v>9.9497900000000001</v>
      </c>
      <c r="M52" s="14">
        <v>9.2745300000000004</v>
      </c>
      <c r="N52" s="14">
        <v>11.8772</v>
      </c>
      <c r="O52" s="14">
        <v>13.40483</v>
      </c>
      <c r="P52" s="14">
        <v>30.333079999999999</v>
      </c>
      <c r="Q52" s="14">
        <v>100.58332</v>
      </c>
      <c r="R52" s="17">
        <v>66.793329111251794</v>
      </c>
      <c r="S52" s="14"/>
      <c r="T52" s="14"/>
    </row>
    <row r="53" spans="1:20" x14ac:dyDescent="0.3">
      <c r="A53" s="10" t="s">
        <v>99</v>
      </c>
      <c r="B53" s="10" t="s">
        <v>138</v>
      </c>
      <c r="C53" s="14">
        <v>7.4432999999999998</v>
      </c>
      <c r="D53" s="14">
        <v>6.78925</v>
      </c>
      <c r="E53" s="14">
        <v>6.6183899999999998</v>
      </c>
      <c r="F53" s="14">
        <v>7.6069000000000004</v>
      </c>
      <c r="G53" s="14">
        <v>9.0597399999999997</v>
      </c>
      <c r="H53" s="14">
        <v>10.54011</v>
      </c>
      <c r="I53" s="14">
        <v>8.0669299999999993</v>
      </c>
      <c r="J53" s="14">
        <v>9.7973800000000004</v>
      </c>
      <c r="K53" s="14">
        <v>8.5863399999999999</v>
      </c>
      <c r="L53" s="14">
        <v>5.93635</v>
      </c>
      <c r="M53" s="14">
        <v>2.6314000000000002</v>
      </c>
      <c r="N53" s="14">
        <v>7.0310100000000002</v>
      </c>
      <c r="O53" s="14">
        <v>8.20364</v>
      </c>
      <c r="P53" s="14">
        <v>10.490790000000001</v>
      </c>
      <c r="Q53" s="14">
        <v>26.67258</v>
      </c>
      <c r="R53" s="17">
        <v>58.109914854689997</v>
      </c>
      <c r="S53" s="14"/>
      <c r="T53" s="14"/>
    </row>
    <row r="54" spans="1:20" x14ac:dyDescent="0.3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21"/>
      <c r="S54" s="18"/>
      <c r="T54" s="18"/>
    </row>
    <row r="55" spans="1:20" x14ac:dyDescent="0.3">
      <c r="A55" s="6" t="s">
        <v>49</v>
      </c>
      <c r="B55" s="6" t="s">
        <v>50</v>
      </c>
      <c r="C55" s="19">
        <v>1446.0795000000001</v>
      </c>
      <c r="D55" s="19">
        <v>936.20619999999997</v>
      </c>
      <c r="E55" s="19">
        <v>986.44690000000003</v>
      </c>
      <c r="F55" s="19">
        <v>1334.8277</v>
      </c>
      <c r="G55" s="19">
        <v>1485.731</v>
      </c>
      <c r="H55" s="19">
        <v>1321.0507</v>
      </c>
      <c r="I55" s="19">
        <v>1353.0232000000001</v>
      </c>
      <c r="J55" s="19">
        <v>1181.1161</v>
      </c>
      <c r="K55" s="19">
        <v>1532.4266</v>
      </c>
      <c r="L55" s="19">
        <v>1288.0672999999999</v>
      </c>
      <c r="M55" s="19">
        <v>1160.5219</v>
      </c>
      <c r="N55" s="19">
        <v>1790.4471000000001</v>
      </c>
      <c r="O55" s="19">
        <v>1783.0826</v>
      </c>
      <c r="P55" s="19">
        <v>3801.8256999999999</v>
      </c>
      <c r="Q55" s="19">
        <v>11076.5452</v>
      </c>
      <c r="R55" s="22">
        <v>7996.2045390215499</v>
      </c>
      <c r="S55" s="19"/>
      <c r="T55" s="19"/>
    </row>
    <row r="56" spans="1:20" x14ac:dyDescent="0.3">
      <c r="A56" s="10" t="s">
        <v>95</v>
      </c>
      <c r="B56" s="10" t="s">
        <v>139</v>
      </c>
      <c r="C56" s="13">
        <v>1222.55</v>
      </c>
      <c r="D56" s="13">
        <v>1178.3235999999999</v>
      </c>
      <c r="E56" s="13">
        <v>856.52170000000001</v>
      </c>
      <c r="F56" s="13">
        <v>1101.3217</v>
      </c>
      <c r="G56" s="13">
        <v>1210.7108000000001</v>
      </c>
      <c r="H56" s="13">
        <v>1151.1763000000001</v>
      </c>
      <c r="I56" s="13">
        <v>1045.7311999999999</v>
      </c>
      <c r="J56" s="13">
        <v>1250.8347000000001</v>
      </c>
      <c r="K56" s="13">
        <v>1051.2752</v>
      </c>
      <c r="L56" s="13">
        <v>1210.2828</v>
      </c>
      <c r="M56" s="13">
        <v>970.72770000000003</v>
      </c>
      <c r="N56" s="13">
        <v>1099.0369000000001</v>
      </c>
      <c r="O56" s="13">
        <v>1524.9572000000001</v>
      </c>
      <c r="P56" s="13">
        <v>2409.0972999999999</v>
      </c>
      <c r="Q56" s="13">
        <v>6748.5425999999998</v>
      </c>
      <c r="R56" s="16"/>
      <c r="S56" s="13"/>
      <c r="T56" s="13"/>
    </row>
    <row r="57" spans="1:20" x14ac:dyDescent="0.3">
      <c r="A57" s="10" t="s">
        <v>97</v>
      </c>
      <c r="B57" s="10" t="s">
        <v>140</v>
      </c>
      <c r="C57" s="13">
        <v>1617.8891000000001</v>
      </c>
      <c r="D57" s="13">
        <v>1704.164</v>
      </c>
      <c r="E57" s="13">
        <v>1345.5041000000001</v>
      </c>
      <c r="F57" s="13">
        <v>1504.5365999999999</v>
      </c>
      <c r="G57" s="13">
        <v>1527.1723</v>
      </c>
      <c r="H57" s="13">
        <v>1415.8652</v>
      </c>
      <c r="I57" s="13">
        <v>1259.2344000000001</v>
      </c>
      <c r="J57" s="13">
        <v>1496.9413999999999</v>
      </c>
      <c r="K57" s="13">
        <v>1367.2448999999999</v>
      </c>
      <c r="L57" s="13">
        <v>1517.336</v>
      </c>
      <c r="M57" s="13">
        <v>1217.1479999999999</v>
      </c>
      <c r="N57" s="13">
        <v>1583.2455</v>
      </c>
      <c r="O57" s="13">
        <v>1761.8009</v>
      </c>
      <c r="P57" s="13">
        <v>3978.8643999999999</v>
      </c>
      <c r="Q57" s="13">
        <v>11828.9923</v>
      </c>
      <c r="R57" s="16"/>
      <c r="S57" s="13"/>
      <c r="T57" s="13"/>
    </row>
    <row r="58" spans="1:20" x14ac:dyDescent="0.3">
      <c r="A58" s="10" t="s">
        <v>99</v>
      </c>
      <c r="B58" s="10" t="s">
        <v>141</v>
      </c>
      <c r="C58" s="13">
        <v>894.32989999999995</v>
      </c>
      <c r="D58" s="13">
        <v>777.52890000000002</v>
      </c>
      <c r="E58" s="13">
        <v>554.73900000000003</v>
      </c>
      <c r="F58" s="13">
        <v>778.23040000000003</v>
      </c>
      <c r="G58" s="13">
        <v>961.17129999999997</v>
      </c>
      <c r="H58" s="13">
        <v>835.6789</v>
      </c>
      <c r="I58" s="13">
        <v>770.14239999999995</v>
      </c>
      <c r="J58" s="13">
        <v>909.84339999999997</v>
      </c>
      <c r="K58" s="13">
        <v>725.12990000000002</v>
      </c>
      <c r="L58" s="13">
        <v>1019.1056</v>
      </c>
      <c r="M58" s="13">
        <v>505.85210000000001</v>
      </c>
      <c r="N58" s="13">
        <v>894.28620000000001</v>
      </c>
      <c r="O58" s="13">
        <v>1232.8172</v>
      </c>
      <c r="P58" s="13">
        <v>1495.9541999999999</v>
      </c>
      <c r="Q58" s="13">
        <v>3580.1884</v>
      </c>
      <c r="R58" s="16"/>
      <c r="S58" s="13"/>
      <c r="T58" s="13"/>
    </row>
    <row r="59" spans="1:20" x14ac:dyDescent="0.3">
      <c r="A59" s="7" t="s">
        <v>90</v>
      </c>
      <c r="B59" s="7"/>
      <c r="C59" s="7" t="s">
        <v>91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0"/>
  <sheetViews>
    <sheetView zoomScale="66" workbookViewId="0">
      <selection activeCell="M22" sqref="M22"/>
    </sheetView>
  </sheetViews>
  <sheetFormatPr defaultRowHeight="14.4" x14ac:dyDescent="0.3"/>
  <cols>
    <col min="1" max="1" width="35.109375" customWidth="1"/>
    <col min="2" max="2" width="0" hidden="1" customWidth="1"/>
    <col min="3" max="6" width="11.88671875" hidden="1" customWidth="1"/>
    <col min="7" max="20" width="11.88671875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 x14ac:dyDescent="0.3">
      <c r="A2" s="8" t="s">
        <v>142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3" t="s">
        <v>1</v>
      </c>
      <c r="B4" s="3"/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143</v>
      </c>
      <c r="S4" s="4" t="s">
        <v>18</v>
      </c>
      <c r="T4" s="4" t="s">
        <v>19</v>
      </c>
    </row>
    <row r="5" spans="1:20" x14ac:dyDescent="0.3">
      <c r="A5" s="9" t="s">
        <v>20</v>
      </c>
      <c r="B5" s="9"/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5" t="s">
        <v>28</v>
      </c>
      <c r="K5" s="5" t="s">
        <v>29</v>
      </c>
      <c r="L5" s="5" t="s">
        <v>30</v>
      </c>
      <c r="M5" s="5" t="s">
        <v>31</v>
      </c>
      <c r="N5" s="5" t="s">
        <v>32</v>
      </c>
      <c r="O5" s="5" t="s">
        <v>33</v>
      </c>
      <c r="P5" s="5" t="s">
        <v>34</v>
      </c>
      <c r="Q5" s="5" t="s">
        <v>35</v>
      </c>
      <c r="R5" s="5" t="s">
        <v>35</v>
      </c>
      <c r="S5" s="5" t="s">
        <v>37</v>
      </c>
      <c r="T5" s="5" t="s">
        <v>38</v>
      </c>
    </row>
    <row r="6" spans="1:20" x14ac:dyDescent="0.3">
      <c r="A6" s="6" t="s">
        <v>144</v>
      </c>
      <c r="B6" s="6" t="s">
        <v>145</v>
      </c>
      <c r="C6" s="19">
        <v>6526.1</v>
      </c>
      <c r="D6" s="19">
        <v>7213</v>
      </c>
      <c r="E6" s="19">
        <v>6507.2</v>
      </c>
      <c r="F6" s="19">
        <v>5796.1</v>
      </c>
      <c r="G6" s="19">
        <v>5631.3</v>
      </c>
      <c r="H6" s="19">
        <v>5639.2</v>
      </c>
      <c r="I6" s="19">
        <v>6016.5</v>
      </c>
      <c r="J6" s="19">
        <v>6142.7</v>
      </c>
      <c r="K6" s="19">
        <v>6633.2</v>
      </c>
      <c r="L6" s="19">
        <v>5888.3</v>
      </c>
      <c r="M6" s="19">
        <v>5748.1</v>
      </c>
      <c r="N6" s="19">
        <v>5634.7</v>
      </c>
      <c r="O6" s="19">
        <v>7250</v>
      </c>
      <c r="P6" s="19">
        <v>7961</v>
      </c>
      <c r="Q6" s="19">
        <v>9646</v>
      </c>
      <c r="R6" s="22"/>
      <c r="S6" s="19">
        <v>10885.416999999999</v>
      </c>
      <c r="T6" s="19">
        <v>12744.166999999999</v>
      </c>
    </row>
    <row r="7" spans="1:20" x14ac:dyDescent="0.3">
      <c r="A7" s="10" t="s">
        <v>146</v>
      </c>
      <c r="B7" s="10" t="s">
        <v>147</v>
      </c>
      <c r="C7" s="13">
        <v>6526.1</v>
      </c>
      <c r="D7" s="13">
        <v>7213</v>
      </c>
      <c r="E7" s="13">
        <v>6507.2</v>
      </c>
      <c r="F7" s="13">
        <v>5796.1</v>
      </c>
      <c r="G7" s="13">
        <v>5631.3</v>
      </c>
      <c r="H7" s="13">
        <v>5639.2</v>
      </c>
      <c r="I7" s="13">
        <v>6016.5</v>
      </c>
      <c r="J7" s="13">
        <v>6142.7</v>
      </c>
      <c r="K7" s="13">
        <v>6633.2</v>
      </c>
      <c r="L7" s="13">
        <v>5888.3</v>
      </c>
      <c r="M7" s="13">
        <v>5748.1</v>
      </c>
      <c r="N7" s="13">
        <v>5634.7</v>
      </c>
      <c r="O7" s="13">
        <v>7250</v>
      </c>
      <c r="P7" s="13">
        <v>7961</v>
      </c>
      <c r="Q7" s="13">
        <v>9646</v>
      </c>
      <c r="R7" s="16"/>
      <c r="S7" s="13"/>
      <c r="T7" s="13"/>
    </row>
    <row r="8" spans="1:20" x14ac:dyDescent="0.3">
      <c r="A8" s="10" t="s">
        <v>148</v>
      </c>
      <c r="B8" s="10" t="s">
        <v>149</v>
      </c>
      <c r="C8" s="13">
        <v>6082</v>
      </c>
      <c r="D8" s="13">
        <v>6721.6</v>
      </c>
      <c r="E8" s="13">
        <v>6068.8</v>
      </c>
      <c r="F8" s="13">
        <v>5406.6</v>
      </c>
      <c r="G8" s="13">
        <v>5225.8999999999996</v>
      </c>
      <c r="H8" s="13">
        <v>5248.1</v>
      </c>
      <c r="I8" s="13">
        <v>5588.9</v>
      </c>
      <c r="J8" s="13">
        <v>5724.2</v>
      </c>
      <c r="K8" s="13">
        <v>6202.7</v>
      </c>
      <c r="L8" s="13">
        <v>5503.6</v>
      </c>
      <c r="M8" s="13">
        <v>5310.5</v>
      </c>
      <c r="N8" s="13">
        <v>5147.7</v>
      </c>
      <c r="O8" s="13">
        <v>6613.7</v>
      </c>
      <c r="P8" s="13">
        <v>7206.9</v>
      </c>
      <c r="Q8" s="13">
        <v>8612.2999999999993</v>
      </c>
      <c r="R8" s="16"/>
      <c r="S8" s="13"/>
      <c r="T8" s="13"/>
    </row>
    <row r="9" spans="1:20" x14ac:dyDescent="0.3">
      <c r="A9" s="10" t="s">
        <v>150</v>
      </c>
      <c r="B9" s="10" t="s">
        <v>151</v>
      </c>
      <c r="C9" s="13">
        <v>6082</v>
      </c>
      <c r="D9" s="13">
        <v>6721.6</v>
      </c>
      <c r="E9" s="13">
        <v>6068.8</v>
      </c>
      <c r="F9" s="13">
        <v>5406.6</v>
      </c>
      <c r="G9" s="13">
        <v>5225.8999999999996</v>
      </c>
      <c r="H9" s="13">
        <v>5248.1</v>
      </c>
      <c r="I9" s="13">
        <v>5588.9</v>
      </c>
      <c r="J9" s="13">
        <v>5724.2</v>
      </c>
      <c r="K9" s="13">
        <v>6202.7</v>
      </c>
      <c r="L9" s="13">
        <v>5503.6</v>
      </c>
      <c r="M9" s="13">
        <v>5310.5</v>
      </c>
      <c r="N9" s="13">
        <v>5147.7</v>
      </c>
      <c r="O9" s="13">
        <v>6613.7</v>
      </c>
      <c r="P9" s="13">
        <v>7206.9</v>
      </c>
      <c r="Q9" s="13">
        <v>8612.2999999999993</v>
      </c>
      <c r="R9" s="16"/>
      <c r="S9" s="13"/>
      <c r="T9" s="13"/>
    </row>
    <row r="10" spans="1:20" x14ac:dyDescent="0.3">
      <c r="A10" s="6" t="s">
        <v>152</v>
      </c>
      <c r="B10" s="6" t="s">
        <v>153</v>
      </c>
      <c r="C10" s="19">
        <v>444.1</v>
      </c>
      <c r="D10" s="19">
        <v>491.4</v>
      </c>
      <c r="E10" s="19">
        <v>438.4</v>
      </c>
      <c r="F10" s="19">
        <v>389.5</v>
      </c>
      <c r="G10" s="19">
        <v>405.4</v>
      </c>
      <c r="H10" s="19">
        <v>391.1</v>
      </c>
      <c r="I10" s="19">
        <v>427.6</v>
      </c>
      <c r="J10" s="19">
        <v>418.5</v>
      </c>
      <c r="K10" s="19">
        <v>430.5</v>
      </c>
      <c r="L10" s="19">
        <v>384.7</v>
      </c>
      <c r="M10" s="19">
        <v>437.6</v>
      </c>
      <c r="N10" s="19">
        <v>487</v>
      </c>
      <c r="O10" s="19">
        <v>636.29999999999995</v>
      </c>
      <c r="P10" s="19">
        <v>754.1</v>
      </c>
      <c r="Q10" s="19">
        <v>1033.7</v>
      </c>
      <c r="R10" s="22"/>
      <c r="S10" s="19">
        <v>1200.0083700800001</v>
      </c>
      <c r="T10" s="19">
        <v>1409.5048701999999</v>
      </c>
    </row>
    <row r="11" spans="1:20" x14ac:dyDescent="0.3">
      <c r="A11" s="10" t="s">
        <v>154</v>
      </c>
      <c r="B11" s="10" t="s">
        <v>155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6"/>
      <c r="S11" s="13"/>
      <c r="T11" s="13"/>
    </row>
    <row r="12" spans="1:20" x14ac:dyDescent="0.3">
      <c r="A12" s="10" t="s">
        <v>156</v>
      </c>
      <c r="B12" s="10" t="s">
        <v>157</v>
      </c>
      <c r="C12" s="13">
        <v>317.8</v>
      </c>
      <c r="D12" s="13">
        <v>287.2</v>
      </c>
      <c r="E12" s="13">
        <v>323</v>
      </c>
      <c r="F12" s="13">
        <v>255.9</v>
      </c>
      <c r="G12" s="13">
        <v>277.7</v>
      </c>
      <c r="H12" s="13">
        <v>275.7</v>
      </c>
      <c r="I12" s="13">
        <v>270.89999999999998</v>
      </c>
      <c r="J12" s="13">
        <v>275.3</v>
      </c>
      <c r="K12" s="13">
        <v>324.2</v>
      </c>
      <c r="L12" s="13">
        <v>235.4</v>
      </c>
      <c r="M12" s="13">
        <v>309.7</v>
      </c>
      <c r="N12" s="13">
        <v>319.3</v>
      </c>
      <c r="O12" s="13">
        <v>373</v>
      </c>
      <c r="P12" s="13">
        <v>415.8</v>
      </c>
      <c r="Q12" s="13">
        <v>434.4</v>
      </c>
      <c r="R12" s="16"/>
      <c r="S12" s="13"/>
      <c r="T12" s="13"/>
    </row>
    <row r="13" spans="1:20" x14ac:dyDescent="0.3">
      <c r="A13" s="10" t="s">
        <v>158</v>
      </c>
      <c r="B13" s="10" t="s">
        <v>159</v>
      </c>
      <c r="C13" s="13">
        <v>249.1</v>
      </c>
      <c r="D13" s="13">
        <v>253.4</v>
      </c>
      <c r="E13" s="13">
        <v>237</v>
      </c>
      <c r="F13" s="13">
        <v>222.3</v>
      </c>
      <c r="G13" s="13">
        <v>210.3</v>
      </c>
      <c r="H13" s="13">
        <v>207.5</v>
      </c>
      <c r="I13" s="13">
        <v>211.1</v>
      </c>
      <c r="J13" s="13">
        <v>203.2</v>
      </c>
      <c r="K13" s="13">
        <v>219</v>
      </c>
      <c r="L13" s="13">
        <v>227.3</v>
      </c>
      <c r="M13" s="13">
        <v>230.7</v>
      </c>
      <c r="N13" s="13">
        <v>245.1</v>
      </c>
      <c r="O13" s="13">
        <v>279.89999999999998</v>
      </c>
      <c r="P13" s="13">
        <v>303.2</v>
      </c>
      <c r="Q13" s="13">
        <v>293.5</v>
      </c>
      <c r="R13" s="16"/>
      <c r="S13" s="13"/>
      <c r="T13" s="13"/>
    </row>
    <row r="14" spans="1:20" x14ac:dyDescent="0.3">
      <c r="A14" s="10" t="s">
        <v>160</v>
      </c>
      <c r="B14" s="10" t="s">
        <v>161</v>
      </c>
      <c r="C14" s="13">
        <v>3</v>
      </c>
      <c r="D14" s="13">
        <v>13.8</v>
      </c>
      <c r="E14" s="13">
        <v>15.2</v>
      </c>
      <c r="F14" s="13">
        <v>17.399999999999999</v>
      </c>
      <c r="G14" s="13">
        <v>19.7</v>
      </c>
      <c r="H14" s="13">
        <v>23.2</v>
      </c>
      <c r="I14" s="13">
        <v>24.9</v>
      </c>
      <c r="J14" s="13">
        <v>26.2</v>
      </c>
      <c r="K14" s="13">
        <v>28.8</v>
      </c>
      <c r="L14" s="13">
        <v>28.4</v>
      </c>
      <c r="M14" s="13">
        <v>29.9</v>
      </c>
      <c r="N14" s="13">
        <v>38.4</v>
      </c>
      <c r="O14" s="13">
        <v>46.3</v>
      </c>
      <c r="P14" s="13">
        <v>60.9</v>
      </c>
      <c r="Q14" s="13">
        <v>78</v>
      </c>
      <c r="R14" s="16"/>
      <c r="S14" s="13"/>
      <c r="T14" s="13"/>
    </row>
    <row r="15" spans="1:20" x14ac:dyDescent="0.3">
      <c r="A15" s="10" t="s">
        <v>162</v>
      </c>
      <c r="B15" s="10" t="s">
        <v>163</v>
      </c>
      <c r="C15" s="13">
        <v>15.8</v>
      </c>
      <c r="D15" s="13">
        <v>13.5</v>
      </c>
      <c r="E15" s="13">
        <v>11.3</v>
      </c>
      <c r="F15" s="13">
        <v>12.2</v>
      </c>
      <c r="G15" s="13">
        <v>10.6</v>
      </c>
      <c r="H15" s="13">
        <v>0</v>
      </c>
      <c r="I15" s="13">
        <v>0</v>
      </c>
      <c r="J15" s="13">
        <v>0</v>
      </c>
      <c r="K15" s="13">
        <f>J15</f>
        <v>0</v>
      </c>
      <c r="L15" s="13">
        <f t="shared" ref="L15:Q15" si="0">K15</f>
        <v>0</v>
      </c>
      <c r="M15" s="13">
        <f t="shared" si="0"/>
        <v>0</v>
      </c>
      <c r="N15" s="13">
        <f t="shared" si="0"/>
        <v>0</v>
      </c>
      <c r="O15" s="13">
        <f t="shared" si="0"/>
        <v>0</v>
      </c>
      <c r="P15" s="13">
        <f t="shared" si="0"/>
        <v>0</v>
      </c>
      <c r="Q15" s="13">
        <f t="shared" si="0"/>
        <v>0</v>
      </c>
      <c r="R15" s="16"/>
      <c r="S15" s="13"/>
      <c r="T15" s="13"/>
    </row>
    <row r="16" spans="1:20" x14ac:dyDescent="0.3">
      <c r="A16" s="10" t="s">
        <v>164</v>
      </c>
      <c r="B16" s="10" t="s">
        <v>165</v>
      </c>
      <c r="C16" s="13">
        <v>49.9</v>
      </c>
      <c r="D16" s="13">
        <v>6.5</v>
      </c>
      <c r="E16" s="13">
        <v>59.5</v>
      </c>
      <c r="F16" s="13">
        <v>4</v>
      </c>
      <c r="G16" s="13">
        <v>37.1</v>
      </c>
      <c r="H16" s="13">
        <v>45</v>
      </c>
      <c r="I16" s="13">
        <v>34.9</v>
      </c>
      <c r="J16" s="13">
        <v>45.9</v>
      </c>
      <c r="K16" s="13">
        <v>76.400000000000006</v>
      </c>
      <c r="L16" s="13">
        <v>-20.3</v>
      </c>
      <c r="M16" s="13">
        <v>49.1</v>
      </c>
      <c r="N16" s="13">
        <v>35.799999999999997</v>
      </c>
      <c r="O16" s="13">
        <v>46.8</v>
      </c>
      <c r="P16" s="13">
        <v>51.7</v>
      </c>
      <c r="Q16" s="13">
        <v>62.9</v>
      </c>
      <c r="R16" s="16"/>
      <c r="S16" s="13"/>
      <c r="T16" s="13"/>
    </row>
    <row r="17" spans="1:20" x14ac:dyDescent="0.3">
      <c r="A17" s="6" t="s">
        <v>166</v>
      </c>
      <c r="B17" s="6" t="s">
        <v>167</v>
      </c>
      <c r="C17" s="19">
        <v>126.3</v>
      </c>
      <c r="D17" s="19">
        <v>204.2</v>
      </c>
      <c r="E17" s="19">
        <v>115.4</v>
      </c>
      <c r="F17" s="19">
        <v>133.6</v>
      </c>
      <c r="G17" s="19">
        <v>127.7</v>
      </c>
      <c r="H17" s="19">
        <v>115.4</v>
      </c>
      <c r="I17" s="19">
        <v>156.69999999999999</v>
      </c>
      <c r="J17" s="19">
        <v>143.19999999999999</v>
      </c>
      <c r="K17" s="19">
        <v>106.3</v>
      </c>
      <c r="L17" s="19">
        <v>149.30000000000001</v>
      </c>
      <c r="M17" s="19">
        <v>127.9</v>
      </c>
      <c r="N17" s="19">
        <v>167.7</v>
      </c>
      <c r="O17" s="19">
        <v>263.3</v>
      </c>
      <c r="P17" s="19">
        <v>338.3</v>
      </c>
      <c r="Q17" s="19">
        <v>599.29999999999995</v>
      </c>
      <c r="R17" s="22"/>
      <c r="S17" s="19">
        <v>753.36400000000003</v>
      </c>
      <c r="T17" s="19">
        <v>903.27300000000002</v>
      </c>
    </row>
    <row r="18" spans="1:20" x14ac:dyDescent="0.3">
      <c r="A18" s="10" t="s">
        <v>168</v>
      </c>
      <c r="B18" s="10" t="s">
        <v>169</v>
      </c>
      <c r="C18" s="13">
        <v>6.9</v>
      </c>
      <c r="D18" s="13">
        <v>5.4</v>
      </c>
      <c r="E18" s="13">
        <v>3.5</v>
      </c>
      <c r="F18" s="13">
        <v>2.9</v>
      </c>
      <c r="G18" s="13">
        <v>3.1</v>
      </c>
      <c r="H18" s="13">
        <v>6.3</v>
      </c>
      <c r="I18" s="13">
        <v>-4.3</v>
      </c>
      <c r="J18" s="13">
        <v>10.1</v>
      </c>
      <c r="K18" s="13">
        <v>24.4</v>
      </c>
      <c r="L18" s="13">
        <v>49.5</v>
      </c>
      <c r="M18" s="13">
        <v>37.700000000000003</v>
      </c>
      <c r="N18" s="13">
        <v>31.7</v>
      </c>
      <c r="O18" s="13">
        <v>59.7</v>
      </c>
      <c r="P18" s="13">
        <v>32.299999999999997</v>
      </c>
      <c r="Q18" s="13">
        <v>67.099999999999994</v>
      </c>
      <c r="R18" s="16"/>
      <c r="S18" s="13"/>
      <c r="T18" s="13"/>
    </row>
    <row r="19" spans="1:20" x14ac:dyDescent="0.3">
      <c r="A19" s="10" t="s">
        <v>170</v>
      </c>
      <c r="B19" s="10" t="s">
        <v>171</v>
      </c>
      <c r="C19" s="13">
        <v>6.9</v>
      </c>
      <c r="D19" s="13">
        <v>5.4</v>
      </c>
      <c r="E19" s="13">
        <v>3.5</v>
      </c>
      <c r="F19" s="13">
        <v>2.9</v>
      </c>
      <c r="G19" s="13" t="s">
        <v>65</v>
      </c>
      <c r="H19" s="13" t="s">
        <v>65</v>
      </c>
      <c r="I19" s="13" t="s">
        <v>65</v>
      </c>
      <c r="J19" s="13" t="s">
        <v>65</v>
      </c>
      <c r="K19" s="13" t="s">
        <v>65</v>
      </c>
      <c r="L19" s="13" t="s">
        <v>65</v>
      </c>
      <c r="M19" s="13" t="s">
        <v>65</v>
      </c>
      <c r="N19" s="13" t="s">
        <v>65</v>
      </c>
      <c r="O19" s="13" t="s">
        <v>65</v>
      </c>
      <c r="P19" s="13" t="s">
        <v>65</v>
      </c>
      <c r="Q19" s="13" t="s">
        <v>65</v>
      </c>
      <c r="R19" s="16"/>
      <c r="S19" s="13"/>
      <c r="T19" s="13"/>
    </row>
    <row r="20" spans="1:20" x14ac:dyDescent="0.3">
      <c r="A20" s="11" t="s">
        <v>172</v>
      </c>
      <c r="B20" s="11" t="s">
        <v>173</v>
      </c>
      <c r="C20" s="25">
        <v>6.9</v>
      </c>
      <c r="D20" s="25">
        <v>5.4</v>
      </c>
      <c r="E20" s="25">
        <v>3.5</v>
      </c>
      <c r="F20" s="25">
        <v>2.9</v>
      </c>
      <c r="G20" s="25" t="s">
        <v>65</v>
      </c>
      <c r="H20" s="25" t="s">
        <v>65</v>
      </c>
      <c r="I20" s="25" t="s">
        <v>65</v>
      </c>
      <c r="J20" s="25" t="s">
        <v>65</v>
      </c>
      <c r="K20" s="25" t="s">
        <v>65</v>
      </c>
      <c r="L20" s="25">
        <v>6.6</v>
      </c>
      <c r="M20" s="25">
        <v>6.1</v>
      </c>
      <c r="N20" s="25">
        <v>6.6</v>
      </c>
      <c r="O20" s="25">
        <v>8.1</v>
      </c>
      <c r="P20" s="25">
        <v>9.6</v>
      </c>
      <c r="Q20" s="25">
        <v>9.9</v>
      </c>
      <c r="R20" s="27"/>
      <c r="S20" s="25"/>
      <c r="T20" s="25"/>
    </row>
    <row r="21" spans="1:20" x14ac:dyDescent="0.3">
      <c r="A21" s="11" t="s">
        <v>174</v>
      </c>
      <c r="B21" s="11" t="s">
        <v>175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 t="s">
        <v>65</v>
      </c>
      <c r="I21" s="25" t="s">
        <v>65</v>
      </c>
      <c r="J21" s="25" t="s">
        <v>65</v>
      </c>
      <c r="K21" s="25" t="s">
        <v>65</v>
      </c>
      <c r="L21" s="25" t="s">
        <v>65</v>
      </c>
      <c r="M21" s="25" t="s">
        <v>65</v>
      </c>
      <c r="N21" s="25" t="s">
        <v>65</v>
      </c>
      <c r="O21" s="25" t="s">
        <v>65</v>
      </c>
      <c r="P21" s="25" t="s">
        <v>65</v>
      </c>
      <c r="Q21" s="25" t="s">
        <v>65</v>
      </c>
      <c r="R21" s="27"/>
      <c r="S21" s="25"/>
      <c r="T21" s="25"/>
    </row>
    <row r="22" spans="1:20" x14ac:dyDescent="0.3">
      <c r="A22" s="10" t="s">
        <v>176</v>
      </c>
      <c r="B22" s="10" t="s">
        <v>177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6"/>
      <c r="S22" s="13"/>
      <c r="T22" s="13"/>
    </row>
    <row r="23" spans="1:20" x14ac:dyDescent="0.3">
      <c r="A23" s="10" t="s">
        <v>178</v>
      </c>
      <c r="B23" s="10" t="s">
        <v>179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6"/>
      <c r="S23" s="13"/>
      <c r="T23" s="13"/>
    </row>
    <row r="24" spans="1:20" x14ac:dyDescent="0.3">
      <c r="A24" s="10" t="s">
        <v>180</v>
      </c>
      <c r="B24" s="10" t="s">
        <v>181</v>
      </c>
      <c r="C24" s="13">
        <v>0</v>
      </c>
      <c r="D24" s="13">
        <v>0</v>
      </c>
      <c r="E24" s="13">
        <v>0</v>
      </c>
      <c r="F24" s="13">
        <v>0</v>
      </c>
      <c r="G24" s="13">
        <v>3.1</v>
      </c>
      <c r="H24" s="13">
        <v>6.3</v>
      </c>
      <c r="I24" s="13">
        <v>-4.3</v>
      </c>
      <c r="J24" s="13">
        <v>10.1</v>
      </c>
      <c r="K24" s="13">
        <v>24.4</v>
      </c>
      <c r="L24" s="13">
        <v>42.9</v>
      </c>
      <c r="M24" s="13">
        <v>31.6</v>
      </c>
      <c r="N24" s="13">
        <v>25.1</v>
      </c>
      <c r="O24" s="13">
        <v>51.6</v>
      </c>
      <c r="P24" s="13">
        <v>22.7</v>
      </c>
      <c r="Q24" s="13">
        <v>57.2</v>
      </c>
      <c r="R24" s="16"/>
      <c r="S24" s="13"/>
      <c r="T24" s="13"/>
    </row>
    <row r="25" spans="1:20" x14ac:dyDescent="0.3">
      <c r="A25" s="6" t="s">
        <v>182</v>
      </c>
      <c r="B25" s="6" t="s">
        <v>183</v>
      </c>
      <c r="C25" s="19">
        <v>119.4</v>
      </c>
      <c r="D25" s="19">
        <v>198.8</v>
      </c>
      <c r="E25" s="19">
        <v>111.9</v>
      </c>
      <c r="F25" s="19">
        <v>130.69999999999999</v>
      </c>
      <c r="G25" s="19">
        <v>124.6</v>
      </c>
      <c r="H25" s="19">
        <v>109.1</v>
      </c>
      <c r="I25" s="19">
        <v>161</v>
      </c>
      <c r="J25" s="19">
        <v>133.1</v>
      </c>
      <c r="K25" s="19">
        <v>81.900000000000006</v>
      </c>
      <c r="L25" s="19">
        <v>99.8</v>
      </c>
      <c r="M25" s="19">
        <v>90.2</v>
      </c>
      <c r="N25" s="19">
        <v>136</v>
      </c>
      <c r="O25" s="19">
        <v>203.6</v>
      </c>
      <c r="P25" s="19">
        <v>306</v>
      </c>
      <c r="Q25" s="19">
        <v>532.20000000000005</v>
      </c>
      <c r="R25" s="22"/>
      <c r="S25" s="19">
        <v>706.44399999999996</v>
      </c>
      <c r="T25" s="19">
        <v>849.7</v>
      </c>
    </row>
    <row r="26" spans="1:20" x14ac:dyDescent="0.3">
      <c r="A26" s="10" t="s">
        <v>184</v>
      </c>
      <c r="B26" s="10" t="s">
        <v>185</v>
      </c>
      <c r="C26" s="13">
        <v>18.2</v>
      </c>
      <c r="D26" s="13">
        <v>3.7</v>
      </c>
      <c r="E26" s="13">
        <v>-5.8</v>
      </c>
      <c r="F26" s="13">
        <v>12.7</v>
      </c>
      <c r="G26" s="13">
        <v>16.399999999999999</v>
      </c>
      <c r="H26" s="13">
        <v>42.2</v>
      </c>
      <c r="I26" s="13">
        <v>24.7</v>
      </c>
      <c r="J26" s="13">
        <v>27.6</v>
      </c>
      <c r="K26" s="13">
        <v>-17</v>
      </c>
      <c r="L26" s="13">
        <v>29.5</v>
      </c>
      <c r="M26" s="13">
        <v>29.6</v>
      </c>
      <c r="N26" s="13">
        <v>32.1</v>
      </c>
      <c r="O26" s="13">
        <v>58.1</v>
      </c>
      <c r="P26" s="13">
        <v>61.6</v>
      </c>
      <c r="Q26" s="13">
        <v>104.2</v>
      </c>
      <c r="R26" s="16"/>
      <c r="S26" s="13"/>
      <c r="T26" s="13"/>
    </row>
    <row r="27" spans="1:20" x14ac:dyDescent="0.3">
      <c r="A27" s="10" t="s">
        <v>186</v>
      </c>
      <c r="B27" s="10" t="s">
        <v>187</v>
      </c>
      <c r="C27" s="13">
        <v>33.4</v>
      </c>
      <c r="D27" s="13">
        <v>10.3</v>
      </c>
      <c r="E27" s="13">
        <v>15.5</v>
      </c>
      <c r="F27" s="13">
        <v>16.899999999999999</v>
      </c>
      <c r="G27" s="13">
        <v>9.6999999999999993</v>
      </c>
      <c r="H27" s="13">
        <v>38.700000000000003</v>
      </c>
      <c r="I27" s="13">
        <v>14.2</v>
      </c>
      <c r="J27" s="13">
        <v>39.1</v>
      </c>
      <c r="K27" s="13">
        <v>39.700000000000003</v>
      </c>
      <c r="L27" s="13">
        <v>22.8</v>
      </c>
      <c r="M27" s="13">
        <v>32.9</v>
      </c>
      <c r="N27" s="13">
        <v>40.9</v>
      </c>
      <c r="O27" s="13">
        <v>88.7</v>
      </c>
      <c r="P27" s="13">
        <v>65.2</v>
      </c>
      <c r="Q27" s="13">
        <v>136.1</v>
      </c>
      <c r="R27" s="16"/>
      <c r="S27" s="13"/>
      <c r="T27" s="13"/>
    </row>
    <row r="28" spans="1:20" x14ac:dyDescent="0.3">
      <c r="A28" s="10" t="s">
        <v>188</v>
      </c>
      <c r="B28" s="10" t="s">
        <v>189</v>
      </c>
      <c r="C28" s="13">
        <v>-15.2</v>
      </c>
      <c r="D28" s="13">
        <v>-6.6</v>
      </c>
      <c r="E28" s="13">
        <v>-21.3</v>
      </c>
      <c r="F28" s="13">
        <v>-4.2</v>
      </c>
      <c r="G28" s="13">
        <v>6.7</v>
      </c>
      <c r="H28" s="13">
        <v>3.5</v>
      </c>
      <c r="I28" s="13">
        <v>10.5</v>
      </c>
      <c r="J28" s="13">
        <v>-11.5</v>
      </c>
      <c r="K28" s="13">
        <v>-56.7</v>
      </c>
      <c r="L28" s="13">
        <v>6.7</v>
      </c>
      <c r="M28" s="13">
        <v>-3.3</v>
      </c>
      <c r="N28" s="13">
        <v>-8.8000000000000007</v>
      </c>
      <c r="O28" s="13">
        <v>-30.6</v>
      </c>
      <c r="P28" s="13">
        <v>-3.6</v>
      </c>
      <c r="Q28" s="13">
        <v>-31.9</v>
      </c>
      <c r="R28" s="16"/>
      <c r="S28" s="13"/>
      <c r="T28" s="13"/>
    </row>
    <row r="29" spans="1:20" x14ac:dyDescent="0.3">
      <c r="A29" s="10" t="s">
        <v>190</v>
      </c>
      <c r="B29" s="10" t="s">
        <v>191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 t="s">
        <v>65</v>
      </c>
      <c r="I29" s="13" t="s">
        <v>65</v>
      </c>
      <c r="J29" s="13" t="s">
        <v>65</v>
      </c>
      <c r="K29" s="13" t="s">
        <v>65</v>
      </c>
      <c r="L29" s="13" t="s">
        <v>65</v>
      </c>
      <c r="M29" s="13" t="s">
        <v>65</v>
      </c>
      <c r="N29" s="13" t="s">
        <v>65</v>
      </c>
      <c r="O29" s="13" t="s">
        <v>65</v>
      </c>
      <c r="P29" s="13" t="s">
        <v>65</v>
      </c>
      <c r="Q29" s="13" t="s">
        <v>65</v>
      </c>
      <c r="R29" s="16"/>
      <c r="S29" s="13"/>
      <c r="T29" s="13"/>
    </row>
    <row r="30" spans="1:20" x14ac:dyDescent="0.3">
      <c r="A30" s="6" t="s">
        <v>192</v>
      </c>
      <c r="B30" s="6" t="s">
        <v>193</v>
      </c>
      <c r="C30" s="19">
        <v>101.2</v>
      </c>
      <c r="D30" s="19">
        <v>195.1</v>
      </c>
      <c r="E30" s="19">
        <v>117.7</v>
      </c>
      <c r="F30" s="19">
        <v>118</v>
      </c>
      <c r="G30" s="19">
        <v>108.2</v>
      </c>
      <c r="H30" s="19">
        <v>66.900000000000006</v>
      </c>
      <c r="I30" s="19">
        <v>136.30000000000001</v>
      </c>
      <c r="J30" s="19">
        <v>105.5</v>
      </c>
      <c r="K30" s="19">
        <v>98.9</v>
      </c>
      <c r="L30" s="19">
        <v>70.3</v>
      </c>
      <c r="M30" s="19">
        <v>60.6</v>
      </c>
      <c r="N30" s="19">
        <v>103.9</v>
      </c>
      <c r="O30" s="19">
        <v>145.5</v>
      </c>
      <c r="P30" s="19">
        <v>244.4</v>
      </c>
      <c r="Q30" s="19">
        <v>428</v>
      </c>
      <c r="R30" s="22"/>
      <c r="S30" s="19">
        <v>519.66700000000003</v>
      </c>
      <c r="T30" s="19">
        <v>637.66700000000003</v>
      </c>
    </row>
    <row r="31" spans="1:20" x14ac:dyDescent="0.3">
      <c r="A31" s="10" t="s">
        <v>194</v>
      </c>
      <c r="B31" s="10" t="s">
        <v>195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6"/>
      <c r="S31" s="13"/>
      <c r="T31" s="13"/>
    </row>
    <row r="32" spans="1:20" x14ac:dyDescent="0.3">
      <c r="A32" s="10" t="s">
        <v>196</v>
      </c>
      <c r="B32" s="10" t="s">
        <v>197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6"/>
      <c r="S32" s="13"/>
      <c r="T32" s="13"/>
    </row>
    <row r="33" spans="1:20" x14ac:dyDescent="0.3">
      <c r="A33" s="10" t="s">
        <v>198</v>
      </c>
      <c r="B33" s="10" t="s">
        <v>199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6"/>
      <c r="S33" s="13"/>
      <c r="T33" s="13"/>
    </row>
    <row r="34" spans="1:20" x14ac:dyDescent="0.3">
      <c r="A34" s="6" t="s">
        <v>200</v>
      </c>
      <c r="B34" s="6" t="s">
        <v>201</v>
      </c>
      <c r="C34" s="19">
        <v>101.2</v>
      </c>
      <c r="D34" s="19">
        <v>195.1</v>
      </c>
      <c r="E34" s="19">
        <v>117.7</v>
      </c>
      <c r="F34" s="19">
        <v>118</v>
      </c>
      <c r="G34" s="19">
        <v>108.2</v>
      </c>
      <c r="H34" s="19">
        <v>66.900000000000006</v>
      </c>
      <c r="I34" s="19">
        <v>136.30000000000001</v>
      </c>
      <c r="J34" s="19">
        <v>105.5</v>
      </c>
      <c r="K34" s="19">
        <v>98.9</v>
      </c>
      <c r="L34" s="19">
        <v>70.3</v>
      </c>
      <c r="M34" s="19">
        <v>60.6</v>
      </c>
      <c r="N34" s="19">
        <v>103.9</v>
      </c>
      <c r="O34" s="19">
        <v>145.5</v>
      </c>
      <c r="P34" s="19">
        <v>244.4</v>
      </c>
      <c r="Q34" s="19">
        <v>428</v>
      </c>
      <c r="R34" s="22"/>
      <c r="S34" s="19"/>
      <c r="T34" s="19"/>
    </row>
    <row r="35" spans="1:20" x14ac:dyDescent="0.3">
      <c r="A35" s="10" t="s">
        <v>202</v>
      </c>
      <c r="B35" s="10" t="s">
        <v>203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6"/>
      <c r="S35" s="13"/>
      <c r="T35" s="13"/>
    </row>
    <row r="36" spans="1:20" x14ac:dyDescent="0.3">
      <c r="A36" s="6" t="s">
        <v>204</v>
      </c>
      <c r="B36" s="6" t="s">
        <v>205</v>
      </c>
      <c r="C36" s="19">
        <v>101.2</v>
      </c>
      <c r="D36" s="19">
        <v>195.1</v>
      </c>
      <c r="E36" s="19">
        <v>117.7</v>
      </c>
      <c r="F36" s="19">
        <v>118</v>
      </c>
      <c r="G36" s="19">
        <v>108.2</v>
      </c>
      <c r="H36" s="19">
        <v>66.900000000000006</v>
      </c>
      <c r="I36" s="19">
        <v>136.30000000000001</v>
      </c>
      <c r="J36" s="19">
        <v>105.5</v>
      </c>
      <c r="K36" s="19">
        <v>98.9</v>
      </c>
      <c r="L36" s="19">
        <v>70.3</v>
      </c>
      <c r="M36" s="19">
        <v>60.6</v>
      </c>
      <c r="N36" s="19">
        <v>103.9</v>
      </c>
      <c r="O36" s="19">
        <v>145.5</v>
      </c>
      <c r="P36" s="19">
        <v>244.4</v>
      </c>
      <c r="Q36" s="19">
        <v>428</v>
      </c>
      <c r="R36" s="22"/>
      <c r="S36" s="19">
        <v>519.66700000000003</v>
      </c>
      <c r="T36" s="19">
        <v>637.66700000000003</v>
      </c>
    </row>
    <row r="37" spans="1:20" x14ac:dyDescent="0.3">
      <c r="A37" s="10" t="s">
        <v>206</v>
      </c>
      <c r="B37" s="10" t="s">
        <v>207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6"/>
      <c r="S37" s="13"/>
      <c r="T37" s="13"/>
    </row>
    <row r="38" spans="1:20" x14ac:dyDescent="0.3">
      <c r="A38" s="10" t="s">
        <v>208</v>
      </c>
      <c r="B38" s="10" t="s">
        <v>209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6"/>
      <c r="S38" s="13"/>
      <c r="T38" s="13"/>
    </row>
    <row r="39" spans="1:20" x14ac:dyDescent="0.3">
      <c r="A39" s="6" t="s">
        <v>210</v>
      </c>
      <c r="B39" s="6" t="s">
        <v>211</v>
      </c>
      <c r="C39" s="19">
        <v>101.2</v>
      </c>
      <c r="D39" s="19">
        <v>195.1</v>
      </c>
      <c r="E39" s="19">
        <v>117.7</v>
      </c>
      <c r="F39" s="19">
        <v>118</v>
      </c>
      <c r="G39" s="19">
        <v>108.2</v>
      </c>
      <c r="H39" s="19">
        <v>66.900000000000006</v>
      </c>
      <c r="I39" s="19">
        <v>136.30000000000001</v>
      </c>
      <c r="J39" s="19">
        <v>105.5</v>
      </c>
      <c r="K39" s="19">
        <v>98.9</v>
      </c>
      <c r="L39" s="19">
        <v>70.3</v>
      </c>
      <c r="M39" s="19">
        <v>60.6</v>
      </c>
      <c r="N39" s="19">
        <v>103.9</v>
      </c>
      <c r="O39" s="19">
        <v>145.5</v>
      </c>
      <c r="P39" s="19">
        <v>244.4</v>
      </c>
      <c r="Q39" s="19">
        <v>428</v>
      </c>
      <c r="R39" s="22"/>
      <c r="S39" s="19">
        <v>519.66700000000003</v>
      </c>
      <c r="T39" s="19">
        <v>637.66700000000003</v>
      </c>
    </row>
    <row r="40" spans="1:20" x14ac:dyDescent="0.3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21"/>
      <c r="S40" s="18"/>
      <c r="T40" s="18"/>
    </row>
    <row r="41" spans="1:20" x14ac:dyDescent="0.3">
      <c r="A41" s="6" t="s">
        <v>212</v>
      </c>
      <c r="B41" s="6" t="s">
        <v>211</v>
      </c>
      <c r="C41" s="19">
        <v>135.631</v>
      </c>
      <c r="D41" s="19">
        <v>199.78</v>
      </c>
      <c r="E41" s="19">
        <v>161.72999999999999</v>
      </c>
      <c r="F41" s="19">
        <v>120.96</v>
      </c>
      <c r="G41" s="19">
        <v>130.7645</v>
      </c>
      <c r="H41" s="19">
        <v>91.912999999999997</v>
      </c>
      <c r="I41" s="19">
        <v>155.04249999999999</v>
      </c>
      <c r="J41" s="19">
        <v>138.11170000000001</v>
      </c>
      <c r="K41" s="19">
        <v>107.7025</v>
      </c>
      <c r="L41" s="19">
        <v>32.153500000000001</v>
      </c>
      <c r="M41" s="19">
        <v>51.045000000000002</v>
      </c>
      <c r="N41" s="19">
        <v>113.2976</v>
      </c>
      <c r="O41" s="19">
        <v>151.78970000000001</v>
      </c>
      <c r="P41" s="19">
        <v>255.6362</v>
      </c>
      <c r="Q41" s="19">
        <v>445.51690000000002</v>
      </c>
      <c r="R41" s="22"/>
      <c r="S41" s="19">
        <v>566.81799999999998</v>
      </c>
      <c r="T41" s="19">
        <v>687.09100000000001</v>
      </c>
    </row>
    <row r="42" spans="1:20" x14ac:dyDescent="0.3">
      <c r="A42" s="10" t="s">
        <v>213</v>
      </c>
      <c r="B42" s="10" t="s">
        <v>214</v>
      </c>
      <c r="C42" s="13">
        <v>34.430999999999997</v>
      </c>
      <c r="D42" s="13">
        <v>4.68</v>
      </c>
      <c r="E42" s="13">
        <v>44.03</v>
      </c>
      <c r="F42" s="13">
        <v>2.96</v>
      </c>
      <c r="G42" s="13">
        <v>22.564499999999999</v>
      </c>
      <c r="H42" s="13">
        <v>25.013000000000002</v>
      </c>
      <c r="I42" s="13">
        <v>18.7425</v>
      </c>
      <c r="J42" s="13">
        <v>32.611699999999999</v>
      </c>
      <c r="K42" s="13">
        <v>8.8025000000000002</v>
      </c>
      <c r="L42" s="13">
        <v>-38.146500000000003</v>
      </c>
      <c r="M42" s="13">
        <v>-9.5549999999999997</v>
      </c>
      <c r="N42" s="13">
        <v>9.3976000000000006</v>
      </c>
      <c r="O42" s="13">
        <v>6.2896999999999998</v>
      </c>
      <c r="P42" s="13">
        <v>11.2362</v>
      </c>
      <c r="Q42" s="13">
        <v>17.5169</v>
      </c>
      <c r="R42" s="16"/>
      <c r="S42" s="13"/>
      <c r="T42" s="13"/>
    </row>
    <row r="43" spans="1:20" x14ac:dyDescent="0.3">
      <c r="A43" s="10" t="s">
        <v>215</v>
      </c>
      <c r="B43" s="10" t="s">
        <v>195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6"/>
      <c r="S43" s="13"/>
      <c r="T43" s="13"/>
    </row>
    <row r="44" spans="1:20" x14ac:dyDescent="0.3">
      <c r="A44" s="6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21"/>
      <c r="S44" s="18"/>
      <c r="T44" s="18"/>
    </row>
    <row r="45" spans="1:20" x14ac:dyDescent="0.3">
      <c r="A45" s="10" t="s">
        <v>216</v>
      </c>
      <c r="B45" s="10" t="s">
        <v>217</v>
      </c>
      <c r="C45" s="13">
        <v>227.8</v>
      </c>
      <c r="D45" s="13">
        <v>216.3</v>
      </c>
      <c r="E45" s="13">
        <v>208.6</v>
      </c>
      <c r="F45" s="13">
        <v>183.4</v>
      </c>
      <c r="G45" s="13">
        <v>178.4</v>
      </c>
      <c r="H45" s="13">
        <v>155.80000000000001</v>
      </c>
      <c r="I45" s="13">
        <v>141.80000000000001</v>
      </c>
      <c r="J45" s="13">
        <v>143.1</v>
      </c>
      <c r="K45" s="13">
        <v>139.4</v>
      </c>
      <c r="L45" s="13">
        <v>131</v>
      </c>
      <c r="M45" s="13">
        <v>129.1</v>
      </c>
      <c r="N45" s="13">
        <v>126.7</v>
      </c>
      <c r="O45" s="13">
        <v>123.5</v>
      </c>
      <c r="P45" s="13">
        <v>120.1</v>
      </c>
      <c r="Q45" s="13">
        <v>118.1</v>
      </c>
      <c r="R45" s="16"/>
      <c r="S45" s="13"/>
      <c r="T45" s="13"/>
    </row>
    <row r="46" spans="1:20" x14ac:dyDescent="0.3">
      <c r="A46" s="6" t="s">
        <v>218</v>
      </c>
      <c r="B46" s="6" t="s">
        <v>219</v>
      </c>
      <c r="C46" s="20">
        <v>0.44</v>
      </c>
      <c r="D46" s="20">
        <v>0.9</v>
      </c>
      <c r="E46" s="20">
        <v>0.56000000000000005</v>
      </c>
      <c r="F46" s="20">
        <v>0.64</v>
      </c>
      <c r="G46" s="20">
        <v>0.61</v>
      </c>
      <c r="H46" s="20">
        <v>0.43</v>
      </c>
      <c r="I46" s="20">
        <v>0.96</v>
      </c>
      <c r="J46" s="20">
        <v>0.74</v>
      </c>
      <c r="K46" s="20">
        <v>0.71</v>
      </c>
      <c r="L46" s="20">
        <v>0.54</v>
      </c>
      <c r="M46" s="20">
        <v>0.47</v>
      </c>
      <c r="N46" s="20">
        <v>0.82</v>
      </c>
      <c r="O46" s="20">
        <v>1.18</v>
      </c>
      <c r="P46" s="20">
        <v>2.0299999999999998</v>
      </c>
      <c r="Q46" s="20">
        <v>3.62</v>
      </c>
      <c r="R46" s="23"/>
      <c r="S46" s="20">
        <v>4.4870000000000001</v>
      </c>
      <c r="T46" s="20">
        <v>5.5670000000000002</v>
      </c>
    </row>
    <row r="47" spans="1:20" x14ac:dyDescent="0.3">
      <c r="A47" s="6" t="s">
        <v>220</v>
      </c>
      <c r="B47" s="6" t="s">
        <v>221</v>
      </c>
      <c r="C47" s="20">
        <v>0.44</v>
      </c>
      <c r="D47" s="20">
        <v>0.9</v>
      </c>
      <c r="E47" s="20">
        <v>0.56000000000000005</v>
      </c>
      <c r="F47" s="20">
        <v>0.64</v>
      </c>
      <c r="G47" s="20">
        <v>0.61</v>
      </c>
      <c r="H47" s="20">
        <v>0.43</v>
      </c>
      <c r="I47" s="20">
        <v>0.96</v>
      </c>
      <c r="J47" s="20">
        <v>0.74</v>
      </c>
      <c r="K47" s="20">
        <v>0.71</v>
      </c>
      <c r="L47" s="20">
        <v>0.54</v>
      </c>
      <c r="M47" s="20">
        <v>0.47</v>
      </c>
      <c r="N47" s="20">
        <v>0.82</v>
      </c>
      <c r="O47" s="20">
        <v>1.18</v>
      </c>
      <c r="P47" s="20">
        <v>2.0299999999999998</v>
      </c>
      <c r="Q47" s="20">
        <v>3.62</v>
      </c>
      <c r="R47" s="23"/>
      <c r="S47" s="20">
        <v>4.4870000000000001</v>
      </c>
      <c r="T47" s="20">
        <v>5.5670000000000002</v>
      </c>
    </row>
    <row r="48" spans="1:20" x14ac:dyDescent="0.3">
      <c r="A48" s="6" t="s">
        <v>222</v>
      </c>
      <c r="B48" s="6" t="s">
        <v>223</v>
      </c>
      <c r="C48" s="20">
        <v>0.59540000000000004</v>
      </c>
      <c r="D48" s="20">
        <v>0.92359999999999998</v>
      </c>
      <c r="E48" s="20">
        <v>0.77529999999999999</v>
      </c>
      <c r="F48" s="20">
        <v>0.65949999999999998</v>
      </c>
      <c r="G48" s="20">
        <v>0.73299999999999998</v>
      </c>
      <c r="H48" s="20">
        <v>0.58989999999999998</v>
      </c>
      <c r="I48" s="20">
        <v>1.0933999999999999</v>
      </c>
      <c r="J48" s="20">
        <v>0.96509999999999996</v>
      </c>
      <c r="K48" s="20">
        <v>0.77259999999999995</v>
      </c>
      <c r="L48" s="20">
        <v>0.24540000000000001</v>
      </c>
      <c r="M48" s="20">
        <v>0.39539999999999997</v>
      </c>
      <c r="N48" s="20">
        <v>0.89419999999999999</v>
      </c>
      <c r="O48" s="20">
        <v>1.2291000000000001</v>
      </c>
      <c r="P48" s="20">
        <v>2.1284999999999998</v>
      </c>
      <c r="Q48" s="20">
        <v>3.7724000000000002</v>
      </c>
      <c r="R48" s="23"/>
      <c r="S48" s="20">
        <v>4.8479999999999999</v>
      </c>
      <c r="T48" s="20">
        <v>5.8879999999999999</v>
      </c>
    </row>
    <row r="49" spans="1:20" x14ac:dyDescent="0.3">
      <c r="A49" s="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21"/>
      <c r="S49" s="18"/>
      <c r="T49" s="18"/>
    </row>
    <row r="50" spans="1:20" x14ac:dyDescent="0.3">
      <c r="A50" s="10" t="s">
        <v>224</v>
      </c>
      <c r="B50" s="10" t="s">
        <v>225</v>
      </c>
      <c r="C50" s="13">
        <v>230.1</v>
      </c>
      <c r="D50" s="13">
        <v>218.3</v>
      </c>
      <c r="E50" s="13">
        <v>210.5</v>
      </c>
      <c r="F50" s="13">
        <v>185.4</v>
      </c>
      <c r="G50" s="13">
        <v>180.4</v>
      </c>
      <c r="H50" s="13">
        <v>157.9</v>
      </c>
      <c r="I50" s="13">
        <v>143.9</v>
      </c>
      <c r="J50" s="13">
        <v>145.19999999999999</v>
      </c>
      <c r="K50" s="13">
        <v>140.6</v>
      </c>
      <c r="L50" s="13">
        <v>131.80000000000001</v>
      </c>
      <c r="M50" s="13">
        <v>129.1</v>
      </c>
      <c r="N50" s="13">
        <v>126.7</v>
      </c>
      <c r="O50" s="13">
        <v>123.6</v>
      </c>
      <c r="P50" s="13">
        <v>120.3</v>
      </c>
      <c r="Q50" s="13">
        <v>118.7</v>
      </c>
      <c r="R50" s="16"/>
      <c r="S50" s="13"/>
      <c r="T50" s="13"/>
    </row>
    <row r="51" spans="1:20" x14ac:dyDescent="0.3">
      <c r="A51" s="6" t="s">
        <v>226</v>
      </c>
      <c r="B51" s="6" t="s">
        <v>227</v>
      </c>
      <c r="C51" s="20">
        <v>0.44</v>
      </c>
      <c r="D51" s="20">
        <v>0.89</v>
      </c>
      <c r="E51" s="20">
        <v>0.56000000000000005</v>
      </c>
      <c r="F51" s="20">
        <v>0.64</v>
      </c>
      <c r="G51" s="20">
        <v>0.6</v>
      </c>
      <c r="H51" s="20">
        <v>0.42</v>
      </c>
      <c r="I51" s="20">
        <v>0.95</v>
      </c>
      <c r="J51" s="20">
        <v>0.73</v>
      </c>
      <c r="K51" s="20">
        <v>0.7</v>
      </c>
      <c r="L51" s="20">
        <v>0.53</v>
      </c>
      <c r="M51" s="20">
        <v>0.47</v>
      </c>
      <c r="N51" s="20">
        <v>0.82</v>
      </c>
      <c r="O51" s="20">
        <v>1.18</v>
      </c>
      <c r="P51" s="20">
        <v>2.0299999999999998</v>
      </c>
      <c r="Q51" s="20">
        <v>3.61</v>
      </c>
      <c r="R51" s="23"/>
      <c r="S51" s="20">
        <v>4.4870000000000001</v>
      </c>
      <c r="T51" s="20">
        <v>5.5670000000000002</v>
      </c>
    </row>
    <row r="52" spans="1:20" x14ac:dyDescent="0.3">
      <c r="A52" s="6" t="s">
        <v>228</v>
      </c>
      <c r="B52" s="6" t="s">
        <v>229</v>
      </c>
      <c r="C52" s="20">
        <v>0.44</v>
      </c>
      <c r="D52" s="20">
        <v>0.89</v>
      </c>
      <c r="E52" s="20">
        <v>0.56000000000000005</v>
      </c>
      <c r="F52" s="20">
        <v>0.64</v>
      </c>
      <c r="G52" s="20">
        <v>0.6</v>
      </c>
      <c r="H52" s="20">
        <v>0.42</v>
      </c>
      <c r="I52" s="20">
        <v>0.95</v>
      </c>
      <c r="J52" s="20">
        <v>0.73</v>
      </c>
      <c r="K52" s="20">
        <v>0.7</v>
      </c>
      <c r="L52" s="20">
        <v>0.53</v>
      </c>
      <c r="M52" s="20">
        <v>0.47</v>
      </c>
      <c r="N52" s="20">
        <v>0.82</v>
      </c>
      <c r="O52" s="20">
        <v>1.18</v>
      </c>
      <c r="P52" s="20">
        <v>2.0299999999999998</v>
      </c>
      <c r="Q52" s="20">
        <v>3.61</v>
      </c>
      <c r="R52" s="23"/>
      <c r="S52" s="20">
        <v>4.4870000000000001</v>
      </c>
      <c r="T52" s="20">
        <v>5.5670000000000002</v>
      </c>
    </row>
    <row r="53" spans="1:20" x14ac:dyDescent="0.3">
      <c r="A53" s="6" t="s">
        <v>230</v>
      </c>
      <c r="B53" s="6" t="s">
        <v>231</v>
      </c>
      <c r="C53" s="20">
        <v>0.58960000000000001</v>
      </c>
      <c r="D53" s="20">
        <v>0.91139999999999999</v>
      </c>
      <c r="E53" s="20">
        <v>0.76919999999999999</v>
      </c>
      <c r="F53" s="20">
        <v>0.65600000000000003</v>
      </c>
      <c r="G53" s="20">
        <v>0.72509999999999997</v>
      </c>
      <c r="H53" s="20">
        <v>0.57840000000000003</v>
      </c>
      <c r="I53" s="20">
        <v>1.0802</v>
      </c>
      <c r="J53" s="20">
        <v>0.9546</v>
      </c>
      <c r="K53" s="20">
        <v>0.76259999999999994</v>
      </c>
      <c r="L53" s="20">
        <v>0.24060000000000001</v>
      </c>
      <c r="M53" s="20">
        <v>0.39539999999999997</v>
      </c>
      <c r="N53" s="20">
        <v>0.89419999999999999</v>
      </c>
      <c r="O53" s="20">
        <v>1.2291000000000001</v>
      </c>
      <c r="P53" s="20">
        <v>2.1234000000000002</v>
      </c>
      <c r="Q53" s="20">
        <v>3.7576000000000001</v>
      </c>
      <c r="R53" s="23"/>
      <c r="S53" s="20">
        <v>4.8479999999999999</v>
      </c>
      <c r="T53" s="20">
        <v>5.8879999999999999</v>
      </c>
    </row>
    <row r="54" spans="1:20" x14ac:dyDescent="0.3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21"/>
      <c r="S54" s="18"/>
      <c r="T54" s="18"/>
    </row>
    <row r="55" spans="1:20" x14ac:dyDescent="0.3">
      <c r="A55" s="6" t="s">
        <v>74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21"/>
      <c r="S55" s="18"/>
      <c r="T55" s="18"/>
    </row>
    <row r="56" spans="1:20" x14ac:dyDescent="0.3">
      <c r="A56" s="10" t="s">
        <v>232</v>
      </c>
      <c r="B56" s="10" t="s">
        <v>233</v>
      </c>
      <c r="C56" s="12" t="s">
        <v>234</v>
      </c>
      <c r="D56" s="12" t="s">
        <v>234</v>
      </c>
      <c r="E56" s="12" t="s">
        <v>234</v>
      </c>
      <c r="F56" s="12" t="s">
        <v>234</v>
      </c>
      <c r="G56" s="12" t="s">
        <v>234</v>
      </c>
      <c r="H56" s="12" t="s">
        <v>234</v>
      </c>
      <c r="I56" s="12" t="s">
        <v>234</v>
      </c>
      <c r="J56" s="12" t="s">
        <v>234</v>
      </c>
      <c r="K56" s="12" t="s">
        <v>234</v>
      </c>
      <c r="L56" s="12" t="s">
        <v>234</v>
      </c>
      <c r="M56" s="12" t="s">
        <v>234</v>
      </c>
      <c r="N56" s="12" t="s">
        <v>234</v>
      </c>
      <c r="O56" s="12" t="s">
        <v>234</v>
      </c>
      <c r="P56" s="12" t="s">
        <v>234</v>
      </c>
      <c r="Q56" s="12" t="s">
        <v>234</v>
      </c>
      <c r="R56" s="15"/>
      <c r="S56" s="12"/>
      <c r="T56" s="12"/>
    </row>
    <row r="57" spans="1:20" x14ac:dyDescent="0.3">
      <c r="A57" s="10" t="s">
        <v>82</v>
      </c>
      <c r="B57" s="10" t="s">
        <v>82</v>
      </c>
      <c r="C57" s="13">
        <v>213.3</v>
      </c>
      <c r="D57" s="13">
        <v>281.39999999999998</v>
      </c>
      <c r="E57" s="13">
        <v>197.1</v>
      </c>
      <c r="F57" s="13">
        <v>205.3</v>
      </c>
      <c r="G57" s="13">
        <v>196.4</v>
      </c>
      <c r="H57" s="13">
        <v>183.7</v>
      </c>
      <c r="I57" s="13">
        <v>232.3</v>
      </c>
      <c r="J57" s="13">
        <v>219.7</v>
      </c>
      <c r="K57" s="13">
        <v>195.4</v>
      </c>
      <c r="L57" s="13">
        <v>284.7</v>
      </c>
      <c r="M57" s="13">
        <v>252.6</v>
      </c>
      <c r="N57" s="13">
        <v>294</v>
      </c>
      <c r="O57" s="13">
        <v>408.1</v>
      </c>
      <c r="P57" s="13">
        <v>469.1</v>
      </c>
      <c r="Q57" s="13">
        <v>751.2</v>
      </c>
      <c r="R57" s="16"/>
      <c r="S57" s="13">
        <v>879</v>
      </c>
      <c r="T57" s="13">
        <v>1059.5999999999999</v>
      </c>
    </row>
    <row r="58" spans="1:20" x14ac:dyDescent="0.3">
      <c r="A58" s="10" t="s">
        <v>235</v>
      </c>
      <c r="B58" s="10" t="s">
        <v>236</v>
      </c>
      <c r="C58" s="14">
        <v>3.2684000000000002</v>
      </c>
      <c r="D58" s="14">
        <v>3.9013</v>
      </c>
      <c r="E58" s="14">
        <v>3.0289999999999999</v>
      </c>
      <c r="F58" s="14">
        <v>3.5419999999999998</v>
      </c>
      <c r="G58" s="14">
        <v>3.4876</v>
      </c>
      <c r="H58" s="14">
        <v>3.2576000000000001</v>
      </c>
      <c r="I58" s="14">
        <v>3.8610000000000002</v>
      </c>
      <c r="J58" s="14">
        <v>3.5766</v>
      </c>
      <c r="K58" s="14">
        <v>2.9458000000000002</v>
      </c>
      <c r="L58" s="14">
        <v>4.835</v>
      </c>
      <c r="M58" s="14">
        <v>4.3944999999999999</v>
      </c>
      <c r="N58" s="14">
        <v>5.2176999999999998</v>
      </c>
      <c r="O58" s="14">
        <v>5.6289999999999996</v>
      </c>
      <c r="P58" s="14">
        <v>5.8925000000000001</v>
      </c>
      <c r="Q58" s="14">
        <v>7.7877000000000001</v>
      </c>
      <c r="R58" s="17"/>
      <c r="S58" s="14">
        <v>8.0750236761715204</v>
      </c>
      <c r="T58" s="14">
        <v>8.3143919881150303</v>
      </c>
    </row>
    <row r="59" spans="1:20" x14ac:dyDescent="0.3">
      <c r="A59" s="10" t="s">
        <v>237</v>
      </c>
      <c r="B59" s="10" t="s">
        <v>237</v>
      </c>
      <c r="C59" s="13">
        <v>149.6</v>
      </c>
      <c r="D59" s="13">
        <v>210.9</v>
      </c>
      <c r="E59" s="13">
        <v>126.7</v>
      </c>
      <c r="F59" s="13">
        <v>145.80000000000001</v>
      </c>
      <c r="G59" s="13">
        <v>138.30000000000001</v>
      </c>
      <c r="H59" s="13">
        <v>124.6</v>
      </c>
      <c r="I59" s="13">
        <v>166.1</v>
      </c>
      <c r="J59" s="13">
        <v>152.1</v>
      </c>
      <c r="K59" s="13">
        <v>121.7</v>
      </c>
      <c r="L59" s="13">
        <v>178.9</v>
      </c>
      <c r="M59" s="13">
        <v>153.5</v>
      </c>
      <c r="N59" s="13">
        <v>193.2</v>
      </c>
      <c r="O59" s="13">
        <v>303.5</v>
      </c>
      <c r="P59" s="13">
        <v>377.9</v>
      </c>
      <c r="Q59" s="13">
        <v>642.79999999999995</v>
      </c>
      <c r="R59" s="16"/>
      <c r="S59" s="13"/>
      <c r="T59" s="13"/>
    </row>
    <row r="60" spans="1:20" x14ac:dyDescent="0.3">
      <c r="A60" s="10" t="s">
        <v>84</v>
      </c>
      <c r="B60" s="10" t="s">
        <v>84</v>
      </c>
      <c r="C60" s="13">
        <v>126.3</v>
      </c>
      <c r="D60" s="13">
        <v>204.2</v>
      </c>
      <c r="E60" s="13">
        <v>115.4</v>
      </c>
      <c r="F60" s="13">
        <v>133.6</v>
      </c>
      <c r="G60" s="13">
        <v>127.7</v>
      </c>
      <c r="H60" s="13">
        <v>115.4</v>
      </c>
      <c r="I60" s="13">
        <v>156.69999999999999</v>
      </c>
      <c r="J60" s="13">
        <v>143.19999999999999</v>
      </c>
      <c r="K60" s="13">
        <v>106.3</v>
      </c>
      <c r="L60" s="13">
        <v>149.30000000000001</v>
      </c>
      <c r="M60" s="13">
        <v>127.9</v>
      </c>
      <c r="N60" s="13">
        <v>167.7</v>
      </c>
      <c r="O60" s="13">
        <v>263.3</v>
      </c>
      <c r="P60" s="13">
        <v>338.3</v>
      </c>
      <c r="Q60" s="13">
        <v>599.29999999999995</v>
      </c>
      <c r="R60" s="16"/>
      <c r="S60" s="13">
        <v>753.36400000000003</v>
      </c>
      <c r="T60" s="13">
        <v>903.27300000000002</v>
      </c>
    </row>
    <row r="61" spans="1:20" x14ac:dyDescent="0.3">
      <c r="A61" s="10" t="s">
        <v>238</v>
      </c>
      <c r="B61" s="10" t="s">
        <v>239</v>
      </c>
      <c r="C61" s="14">
        <v>6.8049999999999997</v>
      </c>
      <c r="D61" s="14">
        <v>6.8127000000000004</v>
      </c>
      <c r="E61" s="14">
        <v>6.7371999999999996</v>
      </c>
      <c r="F61" s="14">
        <v>6.72</v>
      </c>
      <c r="G61" s="14">
        <v>7.1989999999999998</v>
      </c>
      <c r="H61" s="14">
        <v>6.9353999999999996</v>
      </c>
      <c r="I61" s="14">
        <v>7.1071</v>
      </c>
      <c r="J61" s="14">
        <v>6.8129999999999997</v>
      </c>
      <c r="K61" s="14">
        <v>6.4901</v>
      </c>
      <c r="L61" s="14">
        <v>6.5332999999999997</v>
      </c>
      <c r="M61" s="14">
        <v>7.6130000000000004</v>
      </c>
      <c r="N61" s="14">
        <v>8.6428999999999991</v>
      </c>
      <c r="O61" s="14">
        <v>8.7766000000000002</v>
      </c>
      <c r="P61" s="14">
        <v>9.4724000000000004</v>
      </c>
      <c r="Q61" s="14">
        <v>10.7164</v>
      </c>
      <c r="R61" s="17"/>
      <c r="S61" s="14"/>
      <c r="T61" s="14"/>
    </row>
    <row r="62" spans="1:20" x14ac:dyDescent="0.3">
      <c r="A62" s="10" t="s">
        <v>240</v>
      </c>
      <c r="B62" s="10" t="s">
        <v>241</v>
      </c>
      <c r="C62" s="14">
        <v>1.9353</v>
      </c>
      <c r="D62" s="14">
        <v>2.831</v>
      </c>
      <c r="E62" s="14">
        <v>1.7734000000000001</v>
      </c>
      <c r="F62" s="14">
        <v>2.3050000000000002</v>
      </c>
      <c r="G62" s="14">
        <v>2.2677</v>
      </c>
      <c r="H62" s="14">
        <v>2.0464000000000002</v>
      </c>
      <c r="I62" s="14">
        <v>2.6044999999999998</v>
      </c>
      <c r="J62" s="14">
        <v>2.3311999999999999</v>
      </c>
      <c r="K62" s="14">
        <v>1.6025</v>
      </c>
      <c r="L62" s="14">
        <v>2.5354999999999999</v>
      </c>
      <c r="M62" s="14">
        <v>2.2250999999999999</v>
      </c>
      <c r="N62" s="14">
        <v>2.9762</v>
      </c>
      <c r="O62" s="14">
        <v>3.6316999999999999</v>
      </c>
      <c r="P62" s="14">
        <v>4.2495000000000003</v>
      </c>
      <c r="Q62" s="14">
        <v>6.2129000000000003</v>
      </c>
      <c r="R62" s="17"/>
      <c r="S62" s="14">
        <v>6.9208556732369599</v>
      </c>
      <c r="T62" s="14">
        <v>7.0877366876940604</v>
      </c>
    </row>
    <row r="63" spans="1:20" x14ac:dyDescent="0.3">
      <c r="A63" s="10" t="s">
        <v>242</v>
      </c>
      <c r="B63" s="10" t="s">
        <v>243</v>
      </c>
      <c r="C63" s="14">
        <v>1.5507</v>
      </c>
      <c r="D63" s="14">
        <v>2.7048000000000001</v>
      </c>
      <c r="E63" s="14">
        <v>1.8088</v>
      </c>
      <c r="F63" s="14">
        <v>2.0358999999999998</v>
      </c>
      <c r="G63" s="14">
        <v>1.9214</v>
      </c>
      <c r="H63" s="14">
        <v>1.1862999999999999</v>
      </c>
      <c r="I63" s="14">
        <v>2.2654000000000001</v>
      </c>
      <c r="J63" s="14">
        <v>1.7175</v>
      </c>
      <c r="K63" s="14">
        <v>1.4910000000000001</v>
      </c>
      <c r="L63" s="14">
        <v>1.1939</v>
      </c>
      <c r="M63" s="14">
        <v>1.0543</v>
      </c>
      <c r="N63" s="14">
        <v>1.8439000000000001</v>
      </c>
      <c r="O63" s="14">
        <v>2.0068999999999999</v>
      </c>
      <c r="P63" s="14">
        <v>3.07</v>
      </c>
      <c r="Q63" s="14">
        <v>4.4371</v>
      </c>
      <c r="R63" s="17"/>
      <c r="S63" s="14">
        <v>5.2071317065758702</v>
      </c>
      <c r="T63" s="14">
        <v>5.3914155393600902</v>
      </c>
    </row>
    <row r="64" spans="1:20" x14ac:dyDescent="0.3">
      <c r="A64" s="10" t="s">
        <v>244</v>
      </c>
      <c r="B64" s="10" t="s">
        <v>245</v>
      </c>
      <c r="C64" s="14" t="s">
        <v>65</v>
      </c>
      <c r="D64" s="14" t="s">
        <v>65</v>
      </c>
      <c r="E64" s="14" t="s">
        <v>65</v>
      </c>
      <c r="F64" s="14" t="s">
        <v>65</v>
      </c>
      <c r="G64" s="14">
        <v>225252</v>
      </c>
      <c r="H64" s="14">
        <v>211205.99249999999</v>
      </c>
      <c r="I64" s="14">
        <v>227897.7273</v>
      </c>
      <c r="J64" s="14">
        <v>223370.90909999999</v>
      </c>
      <c r="K64" s="14">
        <v>231121.95120000001</v>
      </c>
      <c r="L64" s="14">
        <v>239361.7886</v>
      </c>
      <c r="M64" s="14">
        <v>279712.89539999998</v>
      </c>
      <c r="N64" s="14">
        <v>235613.63159999999</v>
      </c>
      <c r="O64" s="14">
        <v>275414.07079999999</v>
      </c>
      <c r="P64" s="14">
        <v>299804.17259999999</v>
      </c>
      <c r="Q64" s="14">
        <v>359054.5319</v>
      </c>
      <c r="R64" s="17"/>
      <c r="S64" s="14"/>
      <c r="T64" s="14"/>
    </row>
    <row r="65" spans="1:20" x14ac:dyDescent="0.3">
      <c r="A65" s="10" t="s">
        <v>246</v>
      </c>
      <c r="B65" s="10" t="s">
        <v>247</v>
      </c>
      <c r="C65" s="14">
        <v>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7"/>
      <c r="S65" s="14"/>
      <c r="T65" s="14"/>
    </row>
    <row r="66" spans="1:20" x14ac:dyDescent="0.3">
      <c r="A66" s="10" t="s">
        <v>248</v>
      </c>
      <c r="B66" s="10" t="s">
        <v>249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6"/>
      <c r="S66" s="13"/>
      <c r="T66" s="13"/>
    </row>
    <row r="67" spans="1:20" x14ac:dyDescent="0.3">
      <c r="A67" s="10" t="s">
        <v>250</v>
      </c>
      <c r="B67" s="10" t="s">
        <v>251</v>
      </c>
      <c r="C67" s="13">
        <v>0</v>
      </c>
      <c r="D67" s="13">
        <v>0</v>
      </c>
      <c r="E67" s="13">
        <v>0</v>
      </c>
      <c r="F67" s="13">
        <v>0</v>
      </c>
      <c r="G67" s="13">
        <v>0</v>
      </c>
      <c r="H67" s="13" t="s">
        <v>65</v>
      </c>
      <c r="I67" s="13" t="s">
        <v>65</v>
      </c>
      <c r="J67" s="13" t="s">
        <v>65</v>
      </c>
      <c r="K67" s="13" t="s">
        <v>65</v>
      </c>
      <c r="L67" s="13" t="s">
        <v>65</v>
      </c>
      <c r="M67" s="13" t="s">
        <v>65</v>
      </c>
      <c r="N67" s="13" t="s">
        <v>65</v>
      </c>
      <c r="O67" s="13" t="s">
        <v>65</v>
      </c>
      <c r="P67" s="13" t="s">
        <v>65</v>
      </c>
      <c r="Q67" s="13" t="s">
        <v>65</v>
      </c>
      <c r="R67" s="16"/>
      <c r="S67" s="13"/>
      <c r="T67" s="13"/>
    </row>
    <row r="68" spans="1:20" x14ac:dyDescent="0.3">
      <c r="A68" s="10" t="s">
        <v>252</v>
      </c>
      <c r="B68" s="10" t="s">
        <v>253</v>
      </c>
      <c r="C68" s="13">
        <v>63.7</v>
      </c>
      <c r="D68" s="13">
        <v>70.5</v>
      </c>
      <c r="E68" s="13" t="s">
        <v>65</v>
      </c>
      <c r="F68" s="13">
        <v>59.5</v>
      </c>
      <c r="G68" s="13">
        <v>58.1</v>
      </c>
      <c r="H68" s="13">
        <v>59.1</v>
      </c>
      <c r="I68" s="13">
        <v>66.2</v>
      </c>
      <c r="J68" s="13">
        <v>67.599999999999994</v>
      </c>
      <c r="K68" s="13">
        <v>73.7</v>
      </c>
      <c r="L68" s="13">
        <v>105.8</v>
      </c>
      <c r="M68" s="13">
        <v>99.1</v>
      </c>
      <c r="N68" s="13">
        <v>100.8</v>
      </c>
      <c r="O68" s="13">
        <v>104.6</v>
      </c>
      <c r="P68" s="13">
        <v>91.2</v>
      </c>
      <c r="Q68" s="13">
        <v>108.4</v>
      </c>
      <c r="R68" s="16"/>
      <c r="S68" s="13"/>
      <c r="T68" s="13"/>
    </row>
    <row r="69" spans="1:20" x14ac:dyDescent="0.3">
      <c r="A69" s="10" t="s">
        <v>254</v>
      </c>
      <c r="B69" s="10" t="s">
        <v>255</v>
      </c>
      <c r="C69" s="13">
        <v>70.5</v>
      </c>
      <c r="D69" s="13">
        <v>45.3</v>
      </c>
      <c r="E69" s="13">
        <v>35.4</v>
      </c>
      <c r="F69" s="13">
        <v>31.5</v>
      </c>
      <c r="G69" s="13">
        <v>29.1</v>
      </c>
      <c r="H69" s="13">
        <v>25.6</v>
      </c>
      <c r="I69" s="13">
        <v>27.1</v>
      </c>
      <c r="J69" s="13">
        <v>28.5</v>
      </c>
      <c r="K69" s="13">
        <v>35.4</v>
      </c>
      <c r="L69" s="13">
        <v>40.6</v>
      </c>
      <c r="M69" s="13">
        <v>38.200000000000003</v>
      </c>
      <c r="N69" s="13" t="s">
        <v>65</v>
      </c>
      <c r="O69" s="13">
        <v>46</v>
      </c>
      <c r="P69" s="13">
        <v>48.3</v>
      </c>
      <c r="Q69" s="13">
        <v>53.1</v>
      </c>
      <c r="R69" s="16"/>
      <c r="S69" s="13"/>
      <c r="T69" s="13"/>
    </row>
    <row r="70" spans="1:20" x14ac:dyDescent="0.3">
      <c r="A70" s="7" t="s">
        <v>90</v>
      </c>
      <c r="B70" s="7"/>
      <c r="C70" s="7" t="s">
        <v>91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8"/>
  <sheetViews>
    <sheetView zoomScale="61" workbookViewId="0">
      <selection activeCell="L56" sqref="L56"/>
    </sheetView>
  </sheetViews>
  <sheetFormatPr defaultRowHeight="14.4" x14ac:dyDescent="0.3"/>
  <cols>
    <col min="1" max="1" width="35.109375" customWidth="1"/>
    <col min="2" max="2" width="0" hidden="1" customWidth="1"/>
    <col min="3" max="9" width="11.88671875" hidden="1" customWidth="1"/>
    <col min="10" max="20" width="11.88671875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 x14ac:dyDescent="0.3">
      <c r="A2" s="8" t="s">
        <v>256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3" t="s">
        <v>1</v>
      </c>
      <c r="B4" s="3"/>
      <c r="C4" s="4" t="s">
        <v>257</v>
      </c>
      <c r="D4" s="4" t="s">
        <v>258</v>
      </c>
      <c r="E4" s="4" t="s">
        <v>259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R4" s="4" t="s">
        <v>14</v>
      </c>
      <c r="S4" s="4" t="s">
        <v>15</v>
      </c>
      <c r="T4" s="4" t="s">
        <v>16</v>
      </c>
    </row>
    <row r="5" spans="1:20" x14ac:dyDescent="0.3">
      <c r="A5" s="9" t="s">
        <v>20</v>
      </c>
      <c r="B5" s="9"/>
      <c r="C5" s="5" t="s">
        <v>260</v>
      </c>
      <c r="D5" s="5" t="s">
        <v>261</v>
      </c>
      <c r="E5" s="5" t="s">
        <v>262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  <c r="R5" s="5" t="s">
        <v>33</v>
      </c>
      <c r="S5" s="5" t="s">
        <v>34</v>
      </c>
      <c r="T5" s="5" t="s">
        <v>35</v>
      </c>
    </row>
    <row r="6" spans="1:20" x14ac:dyDescent="0.3">
      <c r="A6" s="6" t="s">
        <v>263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x14ac:dyDescent="0.3">
      <c r="A7" s="10" t="s">
        <v>264</v>
      </c>
      <c r="B7" s="10" t="s">
        <v>265</v>
      </c>
      <c r="C7" s="13">
        <v>1116.7</v>
      </c>
      <c r="D7" s="13">
        <v>1201</v>
      </c>
      <c r="E7" s="13">
        <v>937.7</v>
      </c>
      <c r="F7" s="13">
        <v>632.79999999999995</v>
      </c>
      <c r="G7" s="13">
        <v>658.9</v>
      </c>
      <c r="H7" s="13">
        <v>550.5</v>
      </c>
      <c r="I7" s="13">
        <v>544.29999999999995</v>
      </c>
      <c r="J7" s="13">
        <v>565</v>
      </c>
      <c r="K7" s="13">
        <v>545.29999999999995</v>
      </c>
      <c r="L7" s="13">
        <v>557.20000000000005</v>
      </c>
      <c r="M7" s="13">
        <v>515.20000000000005</v>
      </c>
      <c r="N7" s="13">
        <v>422</v>
      </c>
      <c r="O7" s="13">
        <v>479.5</v>
      </c>
      <c r="P7" s="13">
        <v>463.8</v>
      </c>
      <c r="Q7" s="13">
        <v>394</v>
      </c>
      <c r="R7" s="13">
        <v>374.5</v>
      </c>
      <c r="S7" s="13">
        <v>370.4</v>
      </c>
      <c r="T7" s="13">
        <v>423.3</v>
      </c>
    </row>
    <row r="8" spans="1:20" x14ac:dyDescent="0.3">
      <c r="A8" s="10" t="s">
        <v>266</v>
      </c>
      <c r="B8" s="10" t="s">
        <v>267</v>
      </c>
      <c r="C8" s="13">
        <v>1116.7</v>
      </c>
      <c r="D8" s="13">
        <v>1201</v>
      </c>
      <c r="E8" s="13">
        <v>937.7</v>
      </c>
      <c r="F8" s="13">
        <v>632.79999999999995</v>
      </c>
      <c r="G8" s="13">
        <v>658.9</v>
      </c>
      <c r="H8" s="13">
        <v>550.5</v>
      </c>
      <c r="I8" s="13">
        <v>544.29999999999995</v>
      </c>
      <c r="J8" s="13">
        <v>565</v>
      </c>
      <c r="K8" s="13">
        <v>545.29999999999995</v>
      </c>
      <c r="L8" s="13">
        <v>557.20000000000005</v>
      </c>
      <c r="M8" s="13">
        <v>515.20000000000005</v>
      </c>
      <c r="N8" s="13">
        <v>422</v>
      </c>
      <c r="O8" s="13">
        <v>479.5</v>
      </c>
      <c r="P8" s="13">
        <v>463.8</v>
      </c>
      <c r="Q8" s="13">
        <v>394</v>
      </c>
      <c r="R8" s="13">
        <v>374.5</v>
      </c>
      <c r="S8" s="13">
        <v>370.4</v>
      </c>
      <c r="T8" s="13">
        <v>423.3</v>
      </c>
    </row>
    <row r="9" spans="1:20" x14ac:dyDescent="0.3">
      <c r="A9" s="10" t="s">
        <v>268</v>
      </c>
      <c r="B9" s="10" t="s">
        <v>269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</row>
    <row r="10" spans="1:20" x14ac:dyDescent="0.3">
      <c r="A10" s="10" t="s">
        <v>270</v>
      </c>
      <c r="B10" s="10" t="s">
        <v>271</v>
      </c>
      <c r="C10" s="13">
        <v>941.2</v>
      </c>
      <c r="D10" s="13">
        <v>1074</v>
      </c>
      <c r="E10" s="13">
        <v>828.1</v>
      </c>
      <c r="F10" s="13">
        <v>945.1</v>
      </c>
      <c r="G10" s="13">
        <v>810.8</v>
      </c>
      <c r="H10" s="13">
        <v>700.5</v>
      </c>
      <c r="I10" s="13">
        <v>654.1</v>
      </c>
      <c r="J10" s="13">
        <v>693.5</v>
      </c>
      <c r="K10" s="13">
        <v>681</v>
      </c>
      <c r="L10" s="13">
        <v>790.5</v>
      </c>
      <c r="M10" s="13">
        <v>1023.7</v>
      </c>
      <c r="N10" s="13">
        <v>1206.5999999999999</v>
      </c>
      <c r="O10" s="13">
        <v>1052.7</v>
      </c>
      <c r="P10" s="13">
        <v>1093.4000000000001</v>
      </c>
      <c r="Q10" s="13">
        <v>1260.3</v>
      </c>
      <c r="R10" s="13">
        <v>1393.5</v>
      </c>
      <c r="S10" s="13">
        <v>1795.7</v>
      </c>
      <c r="T10" s="13">
        <v>2069</v>
      </c>
    </row>
    <row r="11" spans="1:20" x14ac:dyDescent="0.3">
      <c r="A11" s="10" t="s">
        <v>272</v>
      </c>
      <c r="B11" s="10" t="s">
        <v>273</v>
      </c>
      <c r="C11" s="13">
        <v>941.2</v>
      </c>
      <c r="D11" s="13">
        <v>1074</v>
      </c>
      <c r="E11" s="13">
        <v>828.1</v>
      </c>
      <c r="F11" s="13">
        <v>945.1</v>
      </c>
      <c r="G11" s="13">
        <v>810.8</v>
      </c>
      <c r="H11" s="13">
        <v>700.5</v>
      </c>
      <c r="I11" s="13">
        <v>654.1</v>
      </c>
      <c r="J11" s="13">
        <v>693.5</v>
      </c>
      <c r="K11" s="13">
        <v>681</v>
      </c>
      <c r="L11" s="13">
        <v>790.5</v>
      </c>
      <c r="M11" s="13">
        <v>1023.7</v>
      </c>
      <c r="N11" s="13">
        <v>1206.5999999999999</v>
      </c>
      <c r="O11" s="13">
        <v>1052.7</v>
      </c>
      <c r="P11" s="13">
        <v>1093.4000000000001</v>
      </c>
      <c r="Q11" s="13">
        <v>1260.3</v>
      </c>
      <c r="R11" s="13">
        <v>1393.5</v>
      </c>
      <c r="S11" s="13">
        <v>1795.7</v>
      </c>
      <c r="T11" s="13">
        <v>2069</v>
      </c>
    </row>
    <row r="12" spans="1:20" x14ac:dyDescent="0.3">
      <c r="A12" s="10" t="s">
        <v>274</v>
      </c>
      <c r="B12" s="10" t="s">
        <v>275</v>
      </c>
      <c r="C12" s="13" t="s">
        <v>65</v>
      </c>
      <c r="D12" s="13" t="s">
        <v>65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</row>
    <row r="13" spans="1:20" x14ac:dyDescent="0.3">
      <c r="A13" s="10" t="s">
        <v>276</v>
      </c>
      <c r="B13" s="10" t="s">
        <v>277</v>
      </c>
      <c r="C13" s="13">
        <v>791.9</v>
      </c>
      <c r="D13" s="13">
        <v>787.4</v>
      </c>
      <c r="E13" s="13">
        <v>676.1</v>
      </c>
      <c r="F13" s="13">
        <v>845.7</v>
      </c>
      <c r="G13" s="13">
        <v>880.7</v>
      </c>
      <c r="H13" s="13">
        <v>745.7</v>
      </c>
      <c r="I13" s="13">
        <v>817.2</v>
      </c>
      <c r="J13" s="13">
        <v>719</v>
      </c>
      <c r="K13" s="13">
        <v>794.6</v>
      </c>
      <c r="L13" s="13">
        <v>890.6</v>
      </c>
      <c r="M13" s="13">
        <v>824</v>
      </c>
      <c r="N13" s="13">
        <v>1089.9000000000001</v>
      </c>
      <c r="O13" s="13">
        <v>992.2</v>
      </c>
      <c r="P13" s="13">
        <v>1091.5</v>
      </c>
      <c r="Q13" s="13">
        <v>1697</v>
      </c>
      <c r="R13" s="13">
        <v>2350.3000000000002</v>
      </c>
      <c r="S13" s="13">
        <v>2104.3000000000002</v>
      </c>
      <c r="T13" s="13">
        <v>1760.6</v>
      </c>
    </row>
    <row r="14" spans="1:20" x14ac:dyDescent="0.3">
      <c r="A14" s="10" t="s">
        <v>278</v>
      </c>
      <c r="B14" s="10" t="s">
        <v>279</v>
      </c>
      <c r="C14" s="13">
        <v>543.70000000000005</v>
      </c>
      <c r="D14" s="13">
        <v>533.1</v>
      </c>
      <c r="E14" s="13">
        <v>527.70000000000005</v>
      </c>
      <c r="F14" s="13">
        <v>637.1</v>
      </c>
      <c r="G14" s="13">
        <v>654.29999999999995</v>
      </c>
      <c r="H14" s="13">
        <v>517.1</v>
      </c>
      <c r="I14" s="13">
        <v>527.70000000000005</v>
      </c>
      <c r="J14" s="13">
        <v>458.3</v>
      </c>
      <c r="K14" s="13">
        <v>521.70000000000005</v>
      </c>
      <c r="L14" s="13">
        <v>577.1</v>
      </c>
      <c r="M14" s="13">
        <v>733.2</v>
      </c>
      <c r="N14" s="13">
        <v>948.8</v>
      </c>
      <c r="O14" s="13">
        <v>868.3</v>
      </c>
      <c r="P14" s="13">
        <v>956.2</v>
      </c>
      <c r="Q14" s="13">
        <v>1585.8</v>
      </c>
      <c r="R14" s="13">
        <v>2130.6</v>
      </c>
      <c r="S14" s="13">
        <v>1883.7</v>
      </c>
      <c r="T14" s="13">
        <v>1521.1</v>
      </c>
    </row>
    <row r="15" spans="1:20" x14ac:dyDescent="0.3">
      <c r="A15" s="10" t="s">
        <v>280</v>
      </c>
      <c r="B15" s="10" t="s">
        <v>281</v>
      </c>
      <c r="C15" s="13">
        <v>92.5</v>
      </c>
      <c r="D15" s="13">
        <v>106.4</v>
      </c>
      <c r="E15" s="13">
        <v>54.1</v>
      </c>
      <c r="F15" s="13">
        <v>81.3</v>
      </c>
      <c r="G15" s="13">
        <v>68.5</v>
      </c>
      <c r="H15" s="13">
        <v>77.900000000000006</v>
      </c>
      <c r="I15" s="13">
        <v>109.8</v>
      </c>
      <c r="J15" s="13">
        <v>96.8</v>
      </c>
      <c r="K15" s="13">
        <v>117.8</v>
      </c>
      <c r="L15" s="13">
        <v>133</v>
      </c>
      <c r="M15" s="13">
        <v>57.6</v>
      </c>
      <c r="N15" s="13">
        <v>101.5</v>
      </c>
      <c r="O15" s="13">
        <v>77.099999999999994</v>
      </c>
      <c r="P15" s="13">
        <v>71.5</v>
      </c>
      <c r="Q15" s="13">
        <v>71.2</v>
      </c>
      <c r="R15" s="13">
        <v>84.1</v>
      </c>
      <c r="S15" s="13">
        <v>93.6</v>
      </c>
      <c r="T15" s="13">
        <v>106.6</v>
      </c>
    </row>
    <row r="16" spans="1:20" x14ac:dyDescent="0.3">
      <c r="A16" s="10" t="s">
        <v>282</v>
      </c>
      <c r="B16" s="10" t="s">
        <v>283</v>
      </c>
      <c r="C16" s="13">
        <v>155.69999999999999</v>
      </c>
      <c r="D16" s="13">
        <v>147.9</v>
      </c>
      <c r="E16" s="13">
        <v>94.3</v>
      </c>
      <c r="F16" s="13">
        <v>127.3</v>
      </c>
      <c r="G16" s="13">
        <v>157.9</v>
      </c>
      <c r="H16" s="13">
        <v>150.69999999999999</v>
      </c>
      <c r="I16" s="13">
        <v>179.7</v>
      </c>
      <c r="J16" s="13">
        <v>163.9</v>
      </c>
      <c r="K16" s="13">
        <v>155.1</v>
      </c>
      <c r="L16" s="13">
        <v>180.5</v>
      </c>
      <c r="M16" s="13">
        <v>33.200000000000003</v>
      </c>
      <c r="N16" s="13">
        <v>39.6</v>
      </c>
      <c r="O16" s="13">
        <v>46.8</v>
      </c>
      <c r="P16" s="13">
        <v>63.8</v>
      </c>
      <c r="Q16" s="13">
        <v>40</v>
      </c>
      <c r="R16" s="13">
        <v>135.6</v>
      </c>
      <c r="S16" s="13">
        <v>127</v>
      </c>
      <c r="T16" s="13">
        <v>132.9</v>
      </c>
    </row>
    <row r="17" spans="1:20" x14ac:dyDescent="0.3">
      <c r="A17" s="10" t="s">
        <v>284</v>
      </c>
      <c r="B17" s="10" t="s">
        <v>285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</row>
    <row r="18" spans="1:20" x14ac:dyDescent="0.3">
      <c r="A18" s="10" t="s">
        <v>286</v>
      </c>
      <c r="B18" s="10" t="s">
        <v>287</v>
      </c>
      <c r="C18" s="13">
        <v>149.80000000000001</v>
      </c>
      <c r="D18" s="13">
        <v>109.4</v>
      </c>
      <c r="E18" s="13">
        <v>100.9</v>
      </c>
      <c r="F18" s="13">
        <v>138.1</v>
      </c>
      <c r="G18" s="13">
        <v>112.2</v>
      </c>
      <c r="H18" s="13">
        <v>114</v>
      </c>
      <c r="I18" s="13">
        <v>104.9</v>
      </c>
      <c r="J18" s="13">
        <v>126.7</v>
      </c>
      <c r="K18" s="13">
        <v>103.1</v>
      </c>
      <c r="L18" s="13">
        <v>108.2</v>
      </c>
      <c r="M18" s="13">
        <v>113.7</v>
      </c>
      <c r="N18" s="13">
        <v>105</v>
      </c>
      <c r="O18" s="13">
        <v>67.599999999999994</v>
      </c>
      <c r="P18" s="13">
        <v>88.5</v>
      </c>
      <c r="Q18" s="13">
        <v>84</v>
      </c>
      <c r="R18" s="13">
        <v>208.7</v>
      </c>
      <c r="S18" s="13">
        <v>240.2</v>
      </c>
      <c r="T18" s="13">
        <v>259.3</v>
      </c>
    </row>
    <row r="19" spans="1:20" x14ac:dyDescent="0.3">
      <c r="A19" s="10" t="s">
        <v>288</v>
      </c>
      <c r="B19" s="10" t="s">
        <v>289</v>
      </c>
      <c r="C19" s="13" t="s">
        <v>65</v>
      </c>
      <c r="D19" s="13" t="s">
        <v>65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65</v>
      </c>
      <c r="L19" s="13">
        <v>5.9</v>
      </c>
      <c r="M19" s="13">
        <v>12.9</v>
      </c>
      <c r="N19" s="13">
        <v>2.1</v>
      </c>
      <c r="O19" s="13" t="s">
        <v>65</v>
      </c>
      <c r="P19" s="13" t="s">
        <v>65</v>
      </c>
      <c r="Q19" s="13" t="s">
        <v>65</v>
      </c>
      <c r="R19" s="13" t="s">
        <v>65</v>
      </c>
      <c r="S19" s="13" t="s">
        <v>65</v>
      </c>
      <c r="T19" s="13" t="s">
        <v>65</v>
      </c>
    </row>
    <row r="20" spans="1:20" x14ac:dyDescent="0.3">
      <c r="A20" s="10" t="s">
        <v>290</v>
      </c>
      <c r="B20" s="10" t="s">
        <v>291</v>
      </c>
      <c r="C20" s="13" t="s">
        <v>65</v>
      </c>
      <c r="D20" s="13" t="s">
        <v>65</v>
      </c>
      <c r="E20" s="13" t="s">
        <v>65</v>
      </c>
      <c r="F20" s="13">
        <v>35.5</v>
      </c>
      <c r="G20" s="13">
        <v>32.1</v>
      </c>
      <c r="H20" s="13">
        <v>30.8</v>
      </c>
      <c r="I20" s="13">
        <v>30.2</v>
      </c>
      <c r="J20" s="13">
        <v>28.3</v>
      </c>
      <c r="K20" s="13">
        <v>27.4</v>
      </c>
      <c r="L20" s="13">
        <v>28.9</v>
      </c>
      <c r="M20" s="13">
        <v>30.1</v>
      </c>
      <c r="N20" s="13">
        <v>27.4</v>
      </c>
      <c r="O20" s="13">
        <v>0.7</v>
      </c>
      <c r="P20" s="13">
        <v>0</v>
      </c>
      <c r="Q20" s="13" t="s">
        <v>65</v>
      </c>
      <c r="R20" s="13" t="s">
        <v>65</v>
      </c>
      <c r="S20" s="13" t="s">
        <v>65</v>
      </c>
      <c r="T20" s="13" t="s">
        <v>65</v>
      </c>
    </row>
    <row r="21" spans="1:20" x14ac:dyDescent="0.3">
      <c r="A21" s="10" t="s">
        <v>292</v>
      </c>
      <c r="B21" s="10" t="s">
        <v>293</v>
      </c>
      <c r="C21" s="13" t="s">
        <v>65</v>
      </c>
      <c r="D21" s="13" t="s">
        <v>65</v>
      </c>
      <c r="E21" s="13">
        <v>5.2</v>
      </c>
      <c r="F21" s="13" t="s">
        <v>65</v>
      </c>
      <c r="G21" s="13" t="s">
        <v>65</v>
      </c>
      <c r="H21" s="13" t="s">
        <v>65</v>
      </c>
      <c r="I21" s="13" t="s">
        <v>65</v>
      </c>
      <c r="J21" s="13" t="s">
        <v>65</v>
      </c>
      <c r="K21" s="13" t="s">
        <v>65</v>
      </c>
      <c r="L21" s="13" t="s">
        <v>65</v>
      </c>
      <c r="M21" s="13" t="s">
        <v>65</v>
      </c>
      <c r="N21" s="13" t="s">
        <v>65</v>
      </c>
      <c r="O21" s="13" t="s">
        <v>65</v>
      </c>
      <c r="P21" s="13" t="s">
        <v>65</v>
      </c>
      <c r="Q21" s="13" t="s">
        <v>65</v>
      </c>
      <c r="R21" s="13" t="s">
        <v>65</v>
      </c>
      <c r="S21" s="13" t="s">
        <v>65</v>
      </c>
      <c r="T21" s="13" t="s">
        <v>65</v>
      </c>
    </row>
    <row r="22" spans="1:20" x14ac:dyDescent="0.3">
      <c r="A22" s="10" t="s">
        <v>294</v>
      </c>
      <c r="B22" s="10" t="s">
        <v>295</v>
      </c>
      <c r="C22" s="13" t="s">
        <v>65</v>
      </c>
      <c r="D22" s="13" t="s">
        <v>65</v>
      </c>
      <c r="E22" s="13">
        <v>21.2</v>
      </c>
      <c r="F22" s="13">
        <v>15.6</v>
      </c>
      <c r="G22" s="13">
        <v>9.1</v>
      </c>
      <c r="H22" s="13">
        <v>13.8</v>
      </c>
      <c r="I22" s="13">
        <v>13.6</v>
      </c>
      <c r="J22" s="13">
        <v>11.4</v>
      </c>
      <c r="K22" s="13">
        <v>10.4</v>
      </c>
      <c r="L22" s="13">
        <v>5.4</v>
      </c>
      <c r="M22" s="13">
        <v>1.6</v>
      </c>
      <c r="N22" s="13">
        <v>5</v>
      </c>
      <c r="O22" s="13">
        <v>7.7</v>
      </c>
      <c r="P22" s="13">
        <v>6.8</v>
      </c>
      <c r="Q22" s="13">
        <v>8.6</v>
      </c>
      <c r="R22" s="13">
        <v>5.9</v>
      </c>
      <c r="S22" s="13">
        <v>11.9</v>
      </c>
      <c r="T22" s="13">
        <v>8.5</v>
      </c>
    </row>
    <row r="23" spans="1:20" x14ac:dyDescent="0.3">
      <c r="A23" s="10" t="s">
        <v>296</v>
      </c>
      <c r="B23" s="10" t="s">
        <v>297</v>
      </c>
      <c r="C23" s="13" t="s">
        <v>65</v>
      </c>
      <c r="D23" s="13" t="s">
        <v>65</v>
      </c>
      <c r="E23" s="13">
        <v>74.5</v>
      </c>
      <c r="F23" s="13">
        <v>87</v>
      </c>
      <c r="G23" s="13">
        <v>71</v>
      </c>
      <c r="H23" s="13">
        <v>69.400000000000006</v>
      </c>
      <c r="I23" s="13">
        <v>61.1</v>
      </c>
      <c r="J23" s="13">
        <v>87</v>
      </c>
      <c r="K23" s="13">
        <v>65.3</v>
      </c>
      <c r="L23" s="13">
        <v>68</v>
      </c>
      <c r="M23" s="13">
        <v>69.099999999999994</v>
      </c>
      <c r="N23" s="13">
        <v>70.5</v>
      </c>
      <c r="O23" s="13">
        <v>59.2</v>
      </c>
      <c r="P23" s="13">
        <v>81.7</v>
      </c>
      <c r="Q23" s="13">
        <v>75.400000000000006</v>
      </c>
      <c r="R23" s="13">
        <v>202.8</v>
      </c>
      <c r="S23" s="13">
        <v>228.3</v>
      </c>
      <c r="T23" s="13">
        <v>250.8</v>
      </c>
    </row>
    <row r="24" spans="1:20" x14ac:dyDescent="0.3">
      <c r="A24" s="6" t="s">
        <v>298</v>
      </c>
      <c r="B24" s="6" t="s">
        <v>299</v>
      </c>
      <c r="C24" s="19">
        <v>2999.6001000000001</v>
      </c>
      <c r="D24" s="19">
        <v>3171.8</v>
      </c>
      <c r="E24" s="19">
        <v>2542.8000000000002</v>
      </c>
      <c r="F24" s="19">
        <v>2561.6999999999998</v>
      </c>
      <c r="G24" s="19">
        <v>2462.6</v>
      </c>
      <c r="H24" s="19">
        <v>2110.6999999999998</v>
      </c>
      <c r="I24" s="19">
        <v>2120.5</v>
      </c>
      <c r="J24" s="19">
        <v>2104.1999999999998</v>
      </c>
      <c r="K24" s="19">
        <v>2124</v>
      </c>
      <c r="L24" s="19">
        <v>2346.5</v>
      </c>
      <c r="M24" s="19">
        <v>2476.6</v>
      </c>
      <c r="N24" s="19">
        <v>2823.5</v>
      </c>
      <c r="O24" s="19">
        <v>2592</v>
      </c>
      <c r="P24" s="19">
        <v>2737.2</v>
      </c>
      <c r="Q24" s="19">
        <v>3435.3</v>
      </c>
      <c r="R24" s="19">
        <v>4327</v>
      </c>
      <c r="S24" s="19">
        <v>4510.6000000000004</v>
      </c>
      <c r="T24" s="19">
        <v>4512.2</v>
      </c>
    </row>
    <row r="25" spans="1:20" x14ac:dyDescent="0.3">
      <c r="A25" s="10" t="s">
        <v>300</v>
      </c>
      <c r="B25" s="10" t="s">
        <v>301</v>
      </c>
      <c r="C25" s="13">
        <v>466</v>
      </c>
      <c r="D25" s="13">
        <v>467.5</v>
      </c>
      <c r="E25" s="13">
        <v>393.8</v>
      </c>
      <c r="F25" s="13">
        <v>332.2</v>
      </c>
      <c r="G25" s="13">
        <v>322.7</v>
      </c>
      <c r="H25" s="13">
        <v>337</v>
      </c>
      <c r="I25" s="13">
        <v>313.60000000000002</v>
      </c>
      <c r="J25" s="13">
        <v>312.39999999999998</v>
      </c>
      <c r="K25" s="13">
        <v>314.60000000000002</v>
      </c>
      <c r="L25" s="13">
        <v>302.7</v>
      </c>
      <c r="M25" s="13">
        <v>323.89999999999998</v>
      </c>
      <c r="N25" s="13">
        <v>365.3</v>
      </c>
      <c r="O25" s="13">
        <v>459.1</v>
      </c>
      <c r="P25" s="13">
        <v>433.5</v>
      </c>
      <c r="Q25" s="13">
        <v>452.5</v>
      </c>
      <c r="R25" s="13">
        <v>510.3</v>
      </c>
      <c r="S25" s="13">
        <v>631.79999999999995</v>
      </c>
      <c r="T25" s="13">
        <v>661.6</v>
      </c>
    </row>
    <row r="26" spans="1:20" x14ac:dyDescent="0.3">
      <c r="A26" s="10" t="s">
        <v>302</v>
      </c>
      <c r="B26" s="10" t="s">
        <v>303</v>
      </c>
      <c r="C26" s="13">
        <v>1368.4</v>
      </c>
      <c r="D26" s="13">
        <v>1379.7</v>
      </c>
      <c r="E26" s="13">
        <v>1056.0999999999999</v>
      </c>
      <c r="F26" s="13">
        <v>1046</v>
      </c>
      <c r="G26" s="13">
        <v>1028.0999999999999</v>
      </c>
      <c r="H26" s="13">
        <v>1023.2</v>
      </c>
      <c r="I26" s="13">
        <v>1002.2</v>
      </c>
      <c r="J26" s="13">
        <v>1003.6</v>
      </c>
      <c r="K26" s="13">
        <v>1044.7</v>
      </c>
      <c r="L26" s="13">
        <v>1063.5999999999999</v>
      </c>
      <c r="M26" s="13">
        <v>1112.5999999999999</v>
      </c>
      <c r="N26" s="13">
        <v>1183.5</v>
      </c>
      <c r="O26" s="13">
        <v>1212.2</v>
      </c>
      <c r="P26" s="13">
        <v>1219.5999999999999</v>
      </c>
      <c r="Q26" s="13">
        <v>1272.2</v>
      </c>
      <c r="R26" s="13">
        <v>1355.8</v>
      </c>
      <c r="S26" s="13" t="s">
        <v>65</v>
      </c>
      <c r="T26" s="13" t="s">
        <v>65</v>
      </c>
    </row>
    <row r="27" spans="1:20" x14ac:dyDescent="0.3">
      <c r="A27" s="10" t="s">
        <v>304</v>
      </c>
      <c r="B27" s="10" t="s">
        <v>305</v>
      </c>
      <c r="C27" s="13">
        <v>902.4</v>
      </c>
      <c r="D27" s="13">
        <v>912.2</v>
      </c>
      <c r="E27" s="13">
        <v>662.3</v>
      </c>
      <c r="F27" s="13">
        <v>713.8</v>
      </c>
      <c r="G27" s="13">
        <v>705.4</v>
      </c>
      <c r="H27" s="13">
        <v>686.2</v>
      </c>
      <c r="I27" s="13">
        <v>688.6</v>
      </c>
      <c r="J27" s="13">
        <v>691.2</v>
      </c>
      <c r="K27" s="13">
        <v>730.1</v>
      </c>
      <c r="L27" s="13">
        <v>760.9</v>
      </c>
      <c r="M27" s="13">
        <v>788.7</v>
      </c>
      <c r="N27" s="13">
        <v>818.2</v>
      </c>
      <c r="O27" s="13">
        <v>753.1</v>
      </c>
      <c r="P27" s="13">
        <v>786.1</v>
      </c>
      <c r="Q27" s="13">
        <v>819.7</v>
      </c>
      <c r="R27" s="13">
        <v>845.5</v>
      </c>
      <c r="S27" s="13" t="s">
        <v>65</v>
      </c>
      <c r="T27" s="13" t="s">
        <v>65</v>
      </c>
    </row>
    <row r="28" spans="1:20" x14ac:dyDescent="0.3">
      <c r="A28" s="10" t="s">
        <v>306</v>
      </c>
      <c r="B28" s="10" t="s">
        <v>307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</row>
    <row r="29" spans="1:20" x14ac:dyDescent="0.3">
      <c r="A29" s="10" t="s">
        <v>308</v>
      </c>
      <c r="B29" s="10" t="s">
        <v>309</v>
      </c>
      <c r="C29" s="13">
        <v>1004.9</v>
      </c>
      <c r="D29" s="13">
        <v>146.9</v>
      </c>
      <c r="E29" s="13">
        <v>169.5</v>
      </c>
      <c r="F29" s="13">
        <v>120</v>
      </c>
      <c r="G29" s="13">
        <v>184.3</v>
      </c>
      <c r="H29" s="13">
        <v>211.1</v>
      </c>
      <c r="I29" s="13">
        <v>204.8</v>
      </c>
      <c r="J29" s="13">
        <v>167</v>
      </c>
      <c r="K29" s="13">
        <v>173.4</v>
      </c>
      <c r="L29" s="13">
        <v>173.1</v>
      </c>
      <c r="M29" s="13">
        <v>163.69999999999999</v>
      </c>
      <c r="N29" s="13">
        <v>548.9</v>
      </c>
      <c r="O29" s="13">
        <v>509.6</v>
      </c>
      <c r="P29" s="13">
        <v>493.4</v>
      </c>
      <c r="Q29" s="13">
        <v>779.1</v>
      </c>
      <c r="R29" s="13">
        <v>790.7</v>
      </c>
      <c r="S29" s="13">
        <v>748.1</v>
      </c>
      <c r="T29" s="13">
        <v>814.4</v>
      </c>
    </row>
    <row r="30" spans="1:20" x14ac:dyDescent="0.3">
      <c r="A30" s="10" t="s">
        <v>310</v>
      </c>
      <c r="B30" s="10" t="s">
        <v>311</v>
      </c>
      <c r="C30" s="13">
        <v>885.7</v>
      </c>
      <c r="D30" s="13">
        <v>20.100000000000001</v>
      </c>
      <c r="E30" s="13">
        <v>32.299999999999997</v>
      </c>
      <c r="F30" s="13">
        <v>48.2</v>
      </c>
      <c r="G30" s="13">
        <v>83.5</v>
      </c>
      <c r="H30" s="13">
        <v>113.3</v>
      </c>
      <c r="I30" s="13">
        <v>104.5</v>
      </c>
      <c r="J30" s="13">
        <v>54.7</v>
      </c>
      <c r="K30" s="13">
        <v>49.9</v>
      </c>
      <c r="L30" s="13">
        <v>48.7</v>
      </c>
      <c r="M30" s="13">
        <v>44.8</v>
      </c>
      <c r="N30" s="13">
        <v>482</v>
      </c>
      <c r="O30" s="13">
        <v>449.6</v>
      </c>
      <c r="P30" s="13">
        <v>428</v>
      </c>
      <c r="Q30" s="13">
        <v>706.2</v>
      </c>
      <c r="R30" s="13">
        <v>668.3</v>
      </c>
      <c r="S30" s="13">
        <v>640</v>
      </c>
      <c r="T30" s="13">
        <v>648.5</v>
      </c>
    </row>
    <row r="31" spans="1:20" x14ac:dyDescent="0.3">
      <c r="A31" s="11" t="s">
        <v>312</v>
      </c>
      <c r="B31" s="11" t="s">
        <v>313</v>
      </c>
      <c r="C31" s="25">
        <v>850.5</v>
      </c>
      <c r="D31" s="25">
        <v>0</v>
      </c>
      <c r="E31" s="25">
        <v>0</v>
      </c>
      <c r="F31" s="25">
        <v>14.6</v>
      </c>
      <c r="G31" s="25">
        <v>48</v>
      </c>
      <c r="H31" s="25">
        <v>60.3</v>
      </c>
      <c r="I31" s="25">
        <v>60.3</v>
      </c>
      <c r="J31" s="25">
        <v>19.5</v>
      </c>
      <c r="K31" s="25">
        <v>19.5</v>
      </c>
      <c r="L31" s="25">
        <v>23.2</v>
      </c>
      <c r="M31" s="25">
        <v>23.2</v>
      </c>
      <c r="N31" s="25">
        <v>198.4</v>
      </c>
      <c r="O31" s="25">
        <v>198.3</v>
      </c>
      <c r="P31" s="25">
        <v>198.6</v>
      </c>
      <c r="Q31" s="25">
        <v>324.2</v>
      </c>
      <c r="R31" s="25">
        <v>321.8</v>
      </c>
      <c r="S31" s="25">
        <v>321.7</v>
      </c>
      <c r="T31" s="25">
        <v>340.5</v>
      </c>
    </row>
    <row r="32" spans="1:20" x14ac:dyDescent="0.3">
      <c r="A32" s="11" t="s">
        <v>314</v>
      </c>
      <c r="B32" s="11" t="s">
        <v>315</v>
      </c>
      <c r="C32" s="25">
        <v>35.200000000000003</v>
      </c>
      <c r="D32" s="25">
        <v>20.100000000000001</v>
      </c>
      <c r="E32" s="25">
        <v>32.299999999999997</v>
      </c>
      <c r="F32" s="25">
        <v>33.6</v>
      </c>
      <c r="G32" s="25">
        <v>35.5</v>
      </c>
      <c r="H32" s="25">
        <v>53</v>
      </c>
      <c r="I32" s="25">
        <v>44.2</v>
      </c>
      <c r="J32" s="25">
        <v>35.200000000000003</v>
      </c>
      <c r="K32" s="25">
        <v>30.4</v>
      </c>
      <c r="L32" s="25">
        <v>25.5</v>
      </c>
      <c r="M32" s="25">
        <v>21.6</v>
      </c>
      <c r="N32" s="25">
        <v>283.60000000000002</v>
      </c>
      <c r="O32" s="25">
        <v>251.3</v>
      </c>
      <c r="P32" s="25">
        <v>229.4</v>
      </c>
      <c r="Q32" s="25">
        <v>382</v>
      </c>
      <c r="R32" s="25">
        <v>346.5</v>
      </c>
      <c r="S32" s="25">
        <v>318.3</v>
      </c>
      <c r="T32" s="25">
        <v>308</v>
      </c>
    </row>
    <row r="33" spans="1:20" x14ac:dyDescent="0.3">
      <c r="A33" s="10" t="s">
        <v>292</v>
      </c>
      <c r="B33" s="10" t="s">
        <v>316</v>
      </c>
      <c r="C33" s="13" t="s">
        <v>65</v>
      </c>
      <c r="D33" s="13" t="s">
        <v>65</v>
      </c>
      <c r="E33" s="13" t="s">
        <v>65</v>
      </c>
      <c r="F33" s="13">
        <v>41.9</v>
      </c>
      <c r="G33" s="13">
        <v>41.4</v>
      </c>
      <c r="H33" s="13">
        <v>36.6</v>
      </c>
      <c r="I33" s="13">
        <v>45.3</v>
      </c>
      <c r="J33" s="13">
        <v>37.299999999999997</v>
      </c>
      <c r="K33" s="13">
        <v>40.1</v>
      </c>
      <c r="L33" s="13">
        <v>36.4</v>
      </c>
      <c r="M33" s="13">
        <v>37.6</v>
      </c>
      <c r="N33" s="13">
        <v>36.700000000000003</v>
      </c>
      <c r="O33" s="13">
        <v>33.6</v>
      </c>
      <c r="P33" s="13">
        <v>39.9</v>
      </c>
      <c r="Q33" s="13">
        <v>47.7</v>
      </c>
      <c r="R33" s="13">
        <v>68.900000000000006</v>
      </c>
      <c r="S33" s="13">
        <v>57</v>
      </c>
      <c r="T33" s="13">
        <v>87.7</v>
      </c>
    </row>
    <row r="34" spans="1:20" x14ac:dyDescent="0.3">
      <c r="A34" s="10" t="s">
        <v>288</v>
      </c>
      <c r="B34" s="10" t="s">
        <v>317</v>
      </c>
      <c r="C34" s="13" t="s">
        <v>65</v>
      </c>
      <c r="D34" s="13" t="s">
        <v>65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65</v>
      </c>
      <c r="L34" s="13">
        <v>0</v>
      </c>
      <c r="M34" s="13">
        <v>0</v>
      </c>
      <c r="N34" s="13">
        <v>0</v>
      </c>
      <c r="O34" s="13" t="s">
        <v>65</v>
      </c>
      <c r="P34" s="13" t="s">
        <v>65</v>
      </c>
      <c r="Q34" s="13" t="s">
        <v>65</v>
      </c>
      <c r="R34" s="13">
        <v>0</v>
      </c>
      <c r="S34" s="13">
        <v>0</v>
      </c>
      <c r="T34" s="13">
        <v>0</v>
      </c>
    </row>
    <row r="35" spans="1:20" x14ac:dyDescent="0.3">
      <c r="A35" s="10" t="s">
        <v>318</v>
      </c>
      <c r="B35" s="10" t="s">
        <v>319</v>
      </c>
      <c r="C35" s="13" t="s">
        <v>65</v>
      </c>
      <c r="D35" s="13" t="s">
        <v>65</v>
      </c>
      <c r="E35" s="13" t="s">
        <v>65</v>
      </c>
      <c r="F35" s="13">
        <v>0</v>
      </c>
      <c r="G35" s="13">
        <v>0</v>
      </c>
      <c r="H35" s="13">
        <v>0</v>
      </c>
      <c r="I35" s="13">
        <v>0</v>
      </c>
      <c r="J35" s="13"/>
      <c r="K35" s="13">
        <f t="shared" ref="K35:T35" si="0">K32+K30</f>
        <v>80.3</v>
      </c>
      <c r="L35" s="13">
        <f t="shared" si="0"/>
        <v>74.2</v>
      </c>
      <c r="M35" s="13">
        <f t="shared" si="0"/>
        <v>66.400000000000006</v>
      </c>
      <c r="N35" s="13">
        <f t="shared" si="0"/>
        <v>765.6</v>
      </c>
      <c r="O35" s="13">
        <f t="shared" si="0"/>
        <v>700.90000000000009</v>
      </c>
      <c r="P35" s="13">
        <f t="shared" si="0"/>
        <v>657.4</v>
      </c>
      <c r="Q35" s="13">
        <f t="shared" si="0"/>
        <v>1088.2</v>
      </c>
      <c r="R35" s="13">
        <f t="shared" si="0"/>
        <v>1014.8</v>
      </c>
      <c r="S35" s="13">
        <f t="shared" si="0"/>
        <v>958.3</v>
      </c>
      <c r="T35" s="13">
        <f t="shared" si="0"/>
        <v>956.5</v>
      </c>
    </row>
    <row r="36" spans="1:20" x14ac:dyDescent="0.3">
      <c r="A36" s="10" t="s">
        <v>320</v>
      </c>
      <c r="B36" s="10" t="s">
        <v>321</v>
      </c>
      <c r="C36" s="13">
        <v>119.2</v>
      </c>
      <c r="D36" s="13">
        <v>126.8</v>
      </c>
      <c r="E36" s="13">
        <v>137.19999999999999</v>
      </c>
      <c r="F36" s="13">
        <v>29.9</v>
      </c>
      <c r="G36" s="13">
        <v>59.4</v>
      </c>
      <c r="H36" s="13">
        <v>61.2</v>
      </c>
      <c r="I36" s="13">
        <v>55</v>
      </c>
      <c r="J36" s="13">
        <v>75</v>
      </c>
      <c r="K36" s="13">
        <v>83.4</v>
      </c>
      <c r="L36" s="13">
        <v>88</v>
      </c>
      <c r="M36" s="13">
        <v>81.3</v>
      </c>
      <c r="N36" s="13">
        <v>30.2</v>
      </c>
      <c r="O36" s="13">
        <v>26.4</v>
      </c>
      <c r="P36" s="13">
        <v>25.5</v>
      </c>
      <c r="Q36" s="13">
        <v>25.2</v>
      </c>
      <c r="R36" s="13">
        <v>53.5</v>
      </c>
      <c r="S36" s="13">
        <v>51.1</v>
      </c>
      <c r="T36" s="13">
        <v>78.2</v>
      </c>
    </row>
    <row r="37" spans="1:20" x14ac:dyDescent="0.3">
      <c r="A37" s="6" t="s">
        <v>322</v>
      </c>
      <c r="B37" s="6" t="s">
        <v>323</v>
      </c>
      <c r="C37" s="19">
        <v>1470.9</v>
      </c>
      <c r="D37" s="19">
        <v>614.4</v>
      </c>
      <c r="E37" s="19">
        <v>563.29999999999995</v>
      </c>
      <c r="F37" s="19">
        <v>452.2</v>
      </c>
      <c r="G37" s="19">
        <v>507</v>
      </c>
      <c r="H37" s="19">
        <v>548.1</v>
      </c>
      <c r="I37" s="19">
        <v>518.4</v>
      </c>
      <c r="J37" s="19">
        <v>479.4</v>
      </c>
      <c r="K37" s="19">
        <v>488</v>
      </c>
      <c r="L37" s="19">
        <v>475.8</v>
      </c>
      <c r="M37" s="19">
        <v>487.6</v>
      </c>
      <c r="N37" s="19">
        <v>914.2</v>
      </c>
      <c r="O37" s="19">
        <v>968.7</v>
      </c>
      <c r="P37" s="19">
        <v>926.9</v>
      </c>
      <c r="Q37" s="19">
        <v>1231.5999999999999</v>
      </c>
      <c r="R37" s="19">
        <v>1301</v>
      </c>
      <c r="S37" s="19">
        <v>1379.9</v>
      </c>
      <c r="T37" s="19">
        <v>1476</v>
      </c>
    </row>
    <row r="38" spans="1:20" x14ac:dyDescent="0.3">
      <c r="A38" s="6" t="s">
        <v>263</v>
      </c>
      <c r="B38" s="6" t="s">
        <v>324</v>
      </c>
      <c r="C38" s="19">
        <v>4470.5</v>
      </c>
      <c r="D38" s="19">
        <v>3786.2</v>
      </c>
      <c r="E38" s="19">
        <v>3106.1</v>
      </c>
      <c r="F38" s="19">
        <v>3013.9</v>
      </c>
      <c r="G38" s="19">
        <v>2969.6</v>
      </c>
      <c r="H38" s="19">
        <v>2658.8</v>
      </c>
      <c r="I38" s="19">
        <v>2638.9</v>
      </c>
      <c r="J38" s="19">
        <v>2583.6</v>
      </c>
      <c r="K38" s="19">
        <v>2612</v>
      </c>
      <c r="L38" s="19">
        <v>2822.3</v>
      </c>
      <c r="M38" s="19">
        <v>2964.2</v>
      </c>
      <c r="N38" s="19">
        <v>3737.7</v>
      </c>
      <c r="O38" s="19">
        <v>3560.7</v>
      </c>
      <c r="P38" s="19">
        <v>3664.1</v>
      </c>
      <c r="Q38" s="19">
        <v>4666.8999999999996</v>
      </c>
      <c r="R38" s="19">
        <v>5628</v>
      </c>
      <c r="S38" s="19">
        <v>5890.5</v>
      </c>
      <c r="T38" s="19">
        <v>5988.2</v>
      </c>
    </row>
    <row r="39" spans="1:20" x14ac:dyDescent="0.3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</row>
    <row r="40" spans="1:20" x14ac:dyDescent="0.3">
      <c r="A40" s="6" t="s">
        <v>325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</row>
    <row r="41" spans="1:20" x14ac:dyDescent="0.3">
      <c r="A41" s="10" t="s">
        <v>326</v>
      </c>
      <c r="B41" s="10" t="s">
        <v>327</v>
      </c>
      <c r="C41" s="13">
        <v>1029.8</v>
      </c>
      <c r="D41" s="13">
        <v>1090.5999999999999</v>
      </c>
      <c r="E41" s="13">
        <v>1297</v>
      </c>
      <c r="F41" s="13">
        <v>1510.7</v>
      </c>
      <c r="G41" s="13">
        <v>1310.3</v>
      </c>
      <c r="H41" s="13">
        <v>1113.0999999999999</v>
      </c>
      <c r="I41" s="13">
        <v>1075.8</v>
      </c>
      <c r="J41" s="13">
        <v>1005</v>
      </c>
      <c r="K41" s="13">
        <v>1084.0999999999999</v>
      </c>
      <c r="L41" s="13">
        <v>1171</v>
      </c>
      <c r="M41" s="13">
        <v>1202</v>
      </c>
      <c r="N41" s="13">
        <v>1489.4</v>
      </c>
      <c r="O41" s="13">
        <v>1315.6</v>
      </c>
      <c r="P41" s="13">
        <v>1459.4</v>
      </c>
      <c r="Q41" s="13">
        <v>2184.9</v>
      </c>
      <c r="R41" s="13">
        <v>2985.1</v>
      </c>
      <c r="S41" s="13">
        <v>3173.1</v>
      </c>
      <c r="T41" s="13">
        <v>2975</v>
      </c>
    </row>
    <row r="42" spans="1:20" x14ac:dyDescent="0.3">
      <c r="A42" s="10" t="s">
        <v>328</v>
      </c>
      <c r="B42" s="10" t="s">
        <v>329</v>
      </c>
      <c r="C42" s="13">
        <v>1029.8</v>
      </c>
      <c r="D42" s="13">
        <v>1090.5999999999999</v>
      </c>
      <c r="E42" s="13">
        <v>927.1</v>
      </c>
      <c r="F42" s="13">
        <v>1176.2</v>
      </c>
      <c r="G42" s="13">
        <v>1002.6</v>
      </c>
      <c r="H42" s="13">
        <v>831.6</v>
      </c>
      <c r="I42" s="13">
        <v>770.7</v>
      </c>
      <c r="J42" s="13">
        <v>730.9</v>
      </c>
      <c r="K42" s="13">
        <v>801.4</v>
      </c>
      <c r="L42" s="13">
        <v>876.9</v>
      </c>
      <c r="M42" s="13">
        <v>931.1</v>
      </c>
      <c r="N42" s="13">
        <v>1126.7</v>
      </c>
      <c r="O42" s="13">
        <v>898</v>
      </c>
      <c r="P42" s="13">
        <v>854.5</v>
      </c>
      <c r="Q42" s="13">
        <v>1238.3</v>
      </c>
      <c r="R42" s="13">
        <v>1440.8</v>
      </c>
      <c r="S42" s="13">
        <v>1298.2</v>
      </c>
      <c r="T42" s="13">
        <v>1294.8</v>
      </c>
    </row>
    <row r="43" spans="1:20" x14ac:dyDescent="0.3">
      <c r="A43" s="10" t="s">
        <v>330</v>
      </c>
      <c r="B43" s="10" t="s">
        <v>331</v>
      </c>
      <c r="C43" s="13" t="s">
        <v>65</v>
      </c>
      <c r="D43" s="13" t="s">
        <v>65</v>
      </c>
      <c r="E43" s="13">
        <v>38</v>
      </c>
      <c r="F43" s="13">
        <v>55.4</v>
      </c>
      <c r="G43" s="13">
        <v>39</v>
      </c>
      <c r="H43" s="13">
        <v>37.799999999999997</v>
      </c>
      <c r="I43" s="13">
        <v>30.6</v>
      </c>
      <c r="J43" s="13">
        <v>14.5</v>
      </c>
      <c r="K43" s="13">
        <v>25</v>
      </c>
      <c r="L43" s="13">
        <v>32.4</v>
      </c>
      <c r="M43" s="13">
        <v>37.700000000000003</v>
      </c>
      <c r="N43" s="13">
        <v>42.3</v>
      </c>
      <c r="O43" s="13">
        <v>46.7</v>
      </c>
      <c r="P43" s="13">
        <v>51.8</v>
      </c>
      <c r="Q43" s="13">
        <v>62.3</v>
      </c>
      <c r="R43" s="13">
        <v>82.1</v>
      </c>
      <c r="S43" s="13">
        <v>64.3</v>
      </c>
      <c r="T43" s="13">
        <v>93.5</v>
      </c>
    </row>
    <row r="44" spans="1:20" x14ac:dyDescent="0.3">
      <c r="A44" s="10" t="s">
        <v>332</v>
      </c>
      <c r="B44" s="10" t="s">
        <v>333</v>
      </c>
      <c r="C44" s="13" t="s">
        <v>65</v>
      </c>
      <c r="D44" s="13" t="s">
        <v>65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 t="s">
        <v>65</v>
      </c>
      <c r="M44" s="13" t="s">
        <v>65</v>
      </c>
      <c r="N44" s="13" t="s">
        <v>65</v>
      </c>
      <c r="O44" s="13" t="s">
        <v>65</v>
      </c>
      <c r="P44" s="13" t="s">
        <v>65</v>
      </c>
      <c r="Q44" s="13" t="s">
        <v>65</v>
      </c>
      <c r="R44" s="13" t="s">
        <v>65</v>
      </c>
      <c r="S44" s="13" t="s">
        <v>65</v>
      </c>
      <c r="T44" s="13" t="s">
        <v>65</v>
      </c>
    </row>
    <row r="45" spans="1:20" x14ac:dyDescent="0.3">
      <c r="A45" s="10" t="s">
        <v>334</v>
      </c>
      <c r="B45" s="10" t="s">
        <v>335</v>
      </c>
      <c r="C45" s="13" t="s">
        <v>65</v>
      </c>
      <c r="D45" s="13" t="s">
        <v>65</v>
      </c>
      <c r="E45" s="13">
        <v>331.9</v>
      </c>
      <c r="F45" s="13">
        <v>279.10000000000002</v>
      </c>
      <c r="G45" s="13">
        <v>268.7</v>
      </c>
      <c r="H45" s="13">
        <v>243.7</v>
      </c>
      <c r="I45" s="13">
        <v>274.5</v>
      </c>
      <c r="J45" s="13">
        <v>259.60000000000002</v>
      </c>
      <c r="K45" s="13">
        <v>257.7</v>
      </c>
      <c r="L45" s="13">
        <v>261.7</v>
      </c>
      <c r="M45" s="13">
        <v>233.2</v>
      </c>
      <c r="N45" s="13">
        <v>320.39999999999998</v>
      </c>
      <c r="O45" s="13">
        <v>370.9</v>
      </c>
      <c r="P45" s="13">
        <v>553.1</v>
      </c>
      <c r="Q45" s="13">
        <v>884.3</v>
      </c>
      <c r="R45" s="13">
        <v>1462.2</v>
      </c>
      <c r="S45" s="13">
        <v>1810.6</v>
      </c>
      <c r="T45" s="13">
        <v>1586.7</v>
      </c>
    </row>
    <row r="46" spans="1:20" x14ac:dyDescent="0.3">
      <c r="A46" s="10" t="s">
        <v>336</v>
      </c>
      <c r="B46" s="10" t="s">
        <v>337</v>
      </c>
      <c r="C46" s="13">
        <v>0.2</v>
      </c>
      <c r="D46" s="13">
        <v>1</v>
      </c>
      <c r="E46" s="13">
        <v>222.8</v>
      </c>
      <c r="F46" s="13">
        <v>0</v>
      </c>
      <c r="G46" s="13">
        <v>0</v>
      </c>
      <c r="H46" s="13">
        <v>55</v>
      </c>
      <c r="I46" s="13">
        <v>0</v>
      </c>
      <c r="J46" s="13">
        <v>0</v>
      </c>
      <c r="K46" s="13">
        <v>29.1</v>
      </c>
      <c r="L46" s="13">
        <v>56</v>
      </c>
      <c r="M46" s="13">
        <v>37.9</v>
      </c>
      <c r="N46" s="13">
        <v>107.7</v>
      </c>
      <c r="O46" s="13">
        <v>139.6</v>
      </c>
      <c r="P46" s="13">
        <v>99.8</v>
      </c>
      <c r="Q46" s="13">
        <v>51.5</v>
      </c>
      <c r="R46" s="13">
        <v>52.2</v>
      </c>
      <c r="S46" s="13">
        <v>27</v>
      </c>
      <c r="T46" s="13">
        <v>26.5</v>
      </c>
    </row>
    <row r="47" spans="1:20" x14ac:dyDescent="0.3">
      <c r="A47" s="10" t="s">
        <v>338</v>
      </c>
      <c r="B47" s="10" t="s">
        <v>339</v>
      </c>
      <c r="C47" s="13" t="s">
        <v>65</v>
      </c>
      <c r="D47" s="13" t="s">
        <v>65</v>
      </c>
      <c r="E47" s="13">
        <v>0</v>
      </c>
      <c r="F47" s="13">
        <v>0</v>
      </c>
      <c r="G47" s="13">
        <v>0</v>
      </c>
      <c r="H47" s="13">
        <v>55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34.5</v>
      </c>
      <c r="R47" s="13">
        <v>35.1</v>
      </c>
      <c r="S47" s="13">
        <v>0</v>
      </c>
      <c r="T47" s="13">
        <v>0</v>
      </c>
    </row>
    <row r="48" spans="1:20" x14ac:dyDescent="0.3">
      <c r="A48" s="10" t="s">
        <v>340</v>
      </c>
      <c r="B48" s="10" t="s">
        <v>341</v>
      </c>
      <c r="C48" s="13" t="s">
        <v>65</v>
      </c>
      <c r="D48" s="13" t="s">
        <v>65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4.0999999999999996</v>
      </c>
      <c r="L48" s="13">
        <v>16</v>
      </c>
      <c r="M48" s="13" t="s">
        <v>65</v>
      </c>
      <c r="N48" s="13">
        <v>3.2</v>
      </c>
      <c r="O48" s="13">
        <v>32.5</v>
      </c>
      <c r="P48" s="13">
        <v>32.200000000000003</v>
      </c>
      <c r="Q48" s="13">
        <v>34.5</v>
      </c>
      <c r="R48" s="13">
        <v>35.1</v>
      </c>
      <c r="S48" s="13">
        <v>0</v>
      </c>
      <c r="T48" s="13">
        <v>0</v>
      </c>
    </row>
    <row r="49" spans="1:20" x14ac:dyDescent="0.3">
      <c r="A49" s="11" t="s">
        <v>342</v>
      </c>
      <c r="B49" s="11" t="s">
        <v>343</v>
      </c>
      <c r="C49" s="25" t="s">
        <v>65</v>
      </c>
      <c r="D49" s="25" t="s">
        <v>65</v>
      </c>
      <c r="E49" s="25">
        <v>0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5">
        <v>4.0999999999999996</v>
      </c>
      <c r="L49" s="25">
        <v>16</v>
      </c>
      <c r="M49" s="25" t="s">
        <v>65</v>
      </c>
      <c r="N49" s="25">
        <v>3.2</v>
      </c>
      <c r="O49" s="25" t="s">
        <v>65</v>
      </c>
      <c r="P49" s="25" t="s">
        <v>65</v>
      </c>
      <c r="Q49" s="25" t="s">
        <v>65</v>
      </c>
      <c r="R49" s="25" t="s">
        <v>65</v>
      </c>
      <c r="S49" s="25">
        <v>0</v>
      </c>
      <c r="T49" s="25">
        <v>0</v>
      </c>
    </row>
    <row r="50" spans="1:20" x14ac:dyDescent="0.3">
      <c r="A50" s="11" t="s">
        <v>344</v>
      </c>
      <c r="B50" s="11" t="s">
        <v>345</v>
      </c>
      <c r="C50" s="25" t="s">
        <v>65</v>
      </c>
      <c r="D50" s="25" t="s">
        <v>65</v>
      </c>
      <c r="E50" s="25" t="s">
        <v>65</v>
      </c>
      <c r="F50" s="25" t="s">
        <v>65</v>
      </c>
      <c r="G50" s="25" t="s">
        <v>65</v>
      </c>
      <c r="H50" s="25" t="s">
        <v>65</v>
      </c>
      <c r="I50" s="25" t="s">
        <v>65</v>
      </c>
      <c r="J50" s="25" t="s">
        <v>65</v>
      </c>
      <c r="K50" s="25" t="s">
        <v>65</v>
      </c>
      <c r="L50" s="25" t="s">
        <v>65</v>
      </c>
      <c r="M50" s="25" t="s">
        <v>65</v>
      </c>
      <c r="N50" s="25" t="s">
        <v>65</v>
      </c>
      <c r="O50" s="25">
        <v>32.5</v>
      </c>
      <c r="P50" s="25">
        <v>32.200000000000003</v>
      </c>
      <c r="Q50" s="25" t="s">
        <v>65</v>
      </c>
      <c r="R50" s="25" t="s">
        <v>65</v>
      </c>
      <c r="S50" s="25" t="s">
        <v>65</v>
      </c>
      <c r="T50" s="25" t="s">
        <v>65</v>
      </c>
    </row>
    <row r="51" spans="1:20" x14ac:dyDescent="0.3">
      <c r="A51" s="10" t="s">
        <v>346</v>
      </c>
      <c r="B51" s="10" t="s">
        <v>347</v>
      </c>
      <c r="C51" s="13" t="s">
        <v>65</v>
      </c>
      <c r="D51" s="13" t="s">
        <v>65</v>
      </c>
      <c r="E51" s="13">
        <v>222.8</v>
      </c>
      <c r="F51" s="13" t="s">
        <v>65</v>
      </c>
      <c r="G51" s="13" t="s">
        <v>65</v>
      </c>
      <c r="H51" s="13" t="s">
        <v>65</v>
      </c>
      <c r="I51" s="13" t="s">
        <v>65</v>
      </c>
      <c r="J51" s="13" t="s">
        <v>65</v>
      </c>
      <c r="K51" s="13">
        <v>25</v>
      </c>
      <c r="L51" s="13">
        <v>40</v>
      </c>
      <c r="M51" s="13">
        <v>37.9</v>
      </c>
      <c r="N51" s="13">
        <v>104.5</v>
      </c>
      <c r="O51" s="13">
        <v>107.1</v>
      </c>
      <c r="P51" s="13">
        <v>67.599999999999994</v>
      </c>
      <c r="Q51" s="13">
        <v>17</v>
      </c>
      <c r="R51" s="13">
        <v>17.100000000000001</v>
      </c>
      <c r="S51" s="13">
        <v>27</v>
      </c>
      <c r="T51" s="13">
        <v>26.5</v>
      </c>
    </row>
    <row r="52" spans="1:20" x14ac:dyDescent="0.3">
      <c r="A52" s="10" t="s">
        <v>348</v>
      </c>
      <c r="B52" s="10" t="s">
        <v>349</v>
      </c>
      <c r="C52" s="13">
        <v>416.59989999999999</v>
      </c>
      <c r="D52" s="13">
        <v>476.8</v>
      </c>
      <c r="E52" s="13">
        <v>0</v>
      </c>
      <c r="F52" s="13">
        <v>41.9</v>
      </c>
      <c r="G52" s="13">
        <v>36.299999999999997</v>
      </c>
      <c r="H52" s="13">
        <v>30.8</v>
      </c>
      <c r="I52" s="13">
        <v>33.4</v>
      </c>
      <c r="J52" s="13">
        <v>49.3</v>
      </c>
      <c r="K52" s="13">
        <v>20.2</v>
      </c>
      <c r="L52" s="13">
        <v>18.7</v>
      </c>
      <c r="M52" s="13">
        <v>26.6</v>
      </c>
      <c r="N52" s="13">
        <v>23.2</v>
      </c>
      <c r="O52" s="13">
        <v>26.1</v>
      </c>
      <c r="P52" s="13">
        <v>19</v>
      </c>
      <c r="Q52" s="13">
        <v>17.100000000000001</v>
      </c>
      <c r="R52" s="13">
        <v>17.899999999999999</v>
      </c>
      <c r="S52" s="13">
        <v>20.399999999999999</v>
      </c>
      <c r="T52" s="13">
        <v>19.899999999999999</v>
      </c>
    </row>
    <row r="53" spans="1:20" x14ac:dyDescent="0.3">
      <c r="A53" s="10" t="s">
        <v>350</v>
      </c>
      <c r="B53" s="10" t="s">
        <v>351</v>
      </c>
      <c r="C53" s="13" t="s">
        <v>65</v>
      </c>
      <c r="D53" s="13" t="s">
        <v>65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</row>
    <row r="54" spans="1:20" x14ac:dyDescent="0.3">
      <c r="A54" s="10" t="s">
        <v>352</v>
      </c>
      <c r="B54" s="10" t="s">
        <v>353</v>
      </c>
      <c r="C54" s="13" t="s">
        <v>65</v>
      </c>
      <c r="D54" s="13" t="s">
        <v>65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 t="s">
        <v>65</v>
      </c>
      <c r="L54" s="13">
        <v>15.5</v>
      </c>
      <c r="M54" s="13">
        <v>2.6</v>
      </c>
      <c r="N54" s="13">
        <v>16.3</v>
      </c>
      <c r="O54" s="13" t="s">
        <v>65</v>
      </c>
      <c r="P54" s="13" t="s">
        <v>65</v>
      </c>
      <c r="Q54" s="13" t="s">
        <v>65</v>
      </c>
      <c r="R54" s="13">
        <v>0</v>
      </c>
      <c r="S54" s="13">
        <v>0</v>
      </c>
      <c r="T54" s="13">
        <v>0</v>
      </c>
    </row>
    <row r="55" spans="1:20" x14ac:dyDescent="0.3">
      <c r="A55" s="10" t="s">
        <v>354</v>
      </c>
      <c r="B55" s="10" t="s">
        <v>355</v>
      </c>
      <c r="C55" s="13">
        <v>416.59989999999999</v>
      </c>
      <c r="D55" s="13">
        <v>476.8</v>
      </c>
      <c r="E55" s="13">
        <v>0</v>
      </c>
      <c r="F55" s="13">
        <v>41.9</v>
      </c>
      <c r="G55" s="13">
        <v>36.299999999999997</v>
      </c>
      <c r="H55" s="13">
        <v>30.8</v>
      </c>
      <c r="I55" s="13">
        <v>33.4</v>
      </c>
      <c r="J55" s="13">
        <v>49.3</v>
      </c>
      <c r="K55" s="13">
        <v>20.2</v>
      </c>
      <c r="L55" s="13">
        <v>3.2</v>
      </c>
      <c r="M55" s="13">
        <v>24</v>
      </c>
      <c r="N55" s="13">
        <v>6.9</v>
      </c>
      <c r="O55" s="13">
        <v>26.1</v>
      </c>
      <c r="P55" s="13">
        <v>19</v>
      </c>
      <c r="Q55" s="13">
        <v>17.100000000000001</v>
      </c>
      <c r="R55" s="13">
        <v>17.899999999999999</v>
      </c>
      <c r="S55" s="13">
        <v>20.399999999999999</v>
      </c>
      <c r="T55" s="13">
        <v>19.899999999999999</v>
      </c>
    </row>
    <row r="56" spans="1:20" x14ac:dyDescent="0.3">
      <c r="A56" s="6" t="s">
        <v>356</v>
      </c>
      <c r="B56" s="6" t="s">
        <v>357</v>
      </c>
      <c r="C56" s="19">
        <v>1446.6</v>
      </c>
      <c r="D56" s="19">
        <v>1568.4</v>
      </c>
      <c r="E56" s="19">
        <v>1519.8</v>
      </c>
      <c r="F56" s="19">
        <v>1552.6</v>
      </c>
      <c r="G56" s="19">
        <v>1346.6</v>
      </c>
      <c r="H56" s="19">
        <v>1198.9000000000001</v>
      </c>
      <c r="I56" s="19">
        <v>1109.2</v>
      </c>
      <c r="J56" s="19">
        <v>1054.3</v>
      </c>
      <c r="K56" s="19">
        <v>1133.4000000000001</v>
      </c>
      <c r="L56" s="19">
        <v>1245.7</v>
      </c>
      <c r="M56" s="19">
        <v>1266.5</v>
      </c>
      <c r="N56" s="19">
        <v>1620.3</v>
      </c>
      <c r="O56" s="19">
        <v>1481.3</v>
      </c>
      <c r="P56" s="19">
        <v>1578.2</v>
      </c>
      <c r="Q56" s="19">
        <v>2253.5</v>
      </c>
      <c r="R56" s="19">
        <v>3055.2</v>
      </c>
      <c r="S56" s="19">
        <v>3220.5</v>
      </c>
      <c r="T56" s="19">
        <v>3021.4</v>
      </c>
    </row>
    <row r="57" spans="1:20" x14ac:dyDescent="0.3">
      <c r="A57" s="10" t="s">
        <v>358</v>
      </c>
      <c r="B57" s="10" t="s">
        <v>359</v>
      </c>
      <c r="C57" s="13">
        <v>758.3</v>
      </c>
      <c r="D57" s="13">
        <v>732.1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250.6</v>
      </c>
      <c r="L57" s="13">
        <v>188.7</v>
      </c>
      <c r="M57" s="13">
        <v>166.5</v>
      </c>
      <c r="N57" s="13">
        <v>650.20000000000005</v>
      </c>
      <c r="O57" s="13">
        <v>559.1</v>
      </c>
      <c r="P57" s="13">
        <v>486.1</v>
      </c>
      <c r="Q57" s="13">
        <v>742.9</v>
      </c>
      <c r="R57" s="13">
        <v>733.9</v>
      </c>
      <c r="S57" s="13">
        <v>648.29999999999995</v>
      </c>
      <c r="T57" s="13">
        <v>770.2</v>
      </c>
    </row>
    <row r="58" spans="1:20" x14ac:dyDescent="0.3">
      <c r="A58" s="10" t="s">
        <v>360</v>
      </c>
      <c r="B58" s="10" t="s">
        <v>361</v>
      </c>
      <c r="C58" s="13" t="s">
        <v>65</v>
      </c>
      <c r="D58" s="13" t="s">
        <v>65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235.7</v>
      </c>
      <c r="L58" s="13">
        <v>186.3</v>
      </c>
      <c r="M58" s="13">
        <v>148.80000000000001</v>
      </c>
      <c r="N58" s="13">
        <v>643</v>
      </c>
      <c r="O58" s="13">
        <v>475.5</v>
      </c>
      <c r="P58" s="13">
        <v>419.6</v>
      </c>
      <c r="Q58" s="13">
        <v>638.79999999999995</v>
      </c>
      <c r="R58" s="13">
        <v>606.6</v>
      </c>
      <c r="S58" s="13">
        <v>648.29999999999995</v>
      </c>
      <c r="T58" s="13">
        <v>770.2</v>
      </c>
    </row>
    <row r="59" spans="1:20" x14ac:dyDescent="0.3">
      <c r="A59" s="10" t="s">
        <v>362</v>
      </c>
      <c r="B59" s="10" t="s">
        <v>363</v>
      </c>
      <c r="C59" s="13" t="s">
        <v>65</v>
      </c>
      <c r="D59" s="13" t="s">
        <v>65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14.9</v>
      </c>
      <c r="L59" s="13">
        <v>2.4</v>
      </c>
      <c r="M59" s="13">
        <v>17.7</v>
      </c>
      <c r="N59" s="13">
        <v>7.2</v>
      </c>
      <c r="O59" s="13">
        <v>83.6</v>
      </c>
      <c r="P59" s="13">
        <v>66.5</v>
      </c>
      <c r="Q59" s="13">
        <v>104.1</v>
      </c>
      <c r="R59" s="13">
        <v>127.3</v>
      </c>
      <c r="S59" s="13">
        <v>0</v>
      </c>
      <c r="T59" s="13">
        <v>0</v>
      </c>
    </row>
    <row r="60" spans="1:20" x14ac:dyDescent="0.3">
      <c r="A60" s="11" t="s">
        <v>364</v>
      </c>
      <c r="B60" s="11" t="s">
        <v>365</v>
      </c>
      <c r="C60" s="25" t="s">
        <v>65</v>
      </c>
      <c r="D60" s="25" t="s">
        <v>65</v>
      </c>
      <c r="E60" s="25">
        <v>0</v>
      </c>
      <c r="F60" s="25">
        <v>0</v>
      </c>
      <c r="G60" s="25">
        <v>0</v>
      </c>
      <c r="H60" s="25">
        <v>0</v>
      </c>
      <c r="I60" s="25">
        <v>0</v>
      </c>
      <c r="J60" s="25">
        <v>0</v>
      </c>
      <c r="K60" s="25">
        <v>14.9</v>
      </c>
      <c r="L60" s="25">
        <v>2.4</v>
      </c>
      <c r="M60" s="25">
        <v>17.7</v>
      </c>
      <c r="N60" s="25">
        <v>7.2</v>
      </c>
      <c r="O60" s="25">
        <v>4.9000000000000004</v>
      </c>
      <c r="P60" s="25">
        <v>8.1999999999999993</v>
      </c>
      <c r="Q60" s="25" t="s">
        <v>65</v>
      </c>
      <c r="R60" s="25" t="s">
        <v>65</v>
      </c>
      <c r="S60" s="25">
        <v>0</v>
      </c>
      <c r="T60" s="25">
        <v>0</v>
      </c>
    </row>
    <row r="61" spans="1:20" x14ac:dyDescent="0.3">
      <c r="A61" s="11" t="s">
        <v>366</v>
      </c>
      <c r="B61" s="11" t="s">
        <v>367</v>
      </c>
      <c r="C61" s="25" t="s">
        <v>65</v>
      </c>
      <c r="D61" s="25" t="s">
        <v>65</v>
      </c>
      <c r="E61" s="25" t="s">
        <v>65</v>
      </c>
      <c r="F61" s="25" t="s">
        <v>65</v>
      </c>
      <c r="G61" s="25" t="s">
        <v>65</v>
      </c>
      <c r="H61" s="25" t="s">
        <v>65</v>
      </c>
      <c r="I61" s="25" t="s">
        <v>65</v>
      </c>
      <c r="J61" s="25" t="s">
        <v>65</v>
      </c>
      <c r="K61" s="25" t="s">
        <v>65</v>
      </c>
      <c r="L61" s="25" t="s">
        <v>65</v>
      </c>
      <c r="M61" s="25" t="s">
        <v>65</v>
      </c>
      <c r="N61" s="25" t="s">
        <v>65</v>
      </c>
      <c r="O61" s="25">
        <v>78.7</v>
      </c>
      <c r="P61" s="25">
        <v>58.3</v>
      </c>
      <c r="Q61" s="25" t="s">
        <v>65</v>
      </c>
      <c r="R61" s="25" t="s">
        <v>65</v>
      </c>
      <c r="S61" s="25" t="s">
        <v>65</v>
      </c>
      <c r="T61" s="25" t="s">
        <v>65</v>
      </c>
    </row>
    <row r="62" spans="1:20" x14ac:dyDescent="0.3">
      <c r="A62" s="10" t="s">
        <v>368</v>
      </c>
      <c r="B62" s="10" t="s">
        <v>369</v>
      </c>
      <c r="C62" s="13">
        <v>147.4</v>
      </c>
      <c r="D62" s="13">
        <v>120.2</v>
      </c>
      <c r="E62" s="13">
        <v>110.5</v>
      </c>
      <c r="F62" s="13">
        <v>178.4</v>
      </c>
      <c r="G62" s="13">
        <v>159.19999999999999</v>
      </c>
      <c r="H62" s="13">
        <v>137.19999999999999</v>
      </c>
      <c r="I62" s="13">
        <v>127.7</v>
      </c>
      <c r="J62" s="13">
        <v>134.4</v>
      </c>
      <c r="K62" s="13">
        <v>137</v>
      </c>
      <c r="L62" s="13">
        <v>149.1</v>
      </c>
      <c r="M62" s="13">
        <v>161</v>
      </c>
      <c r="N62" s="13">
        <v>134.9</v>
      </c>
      <c r="O62" s="13">
        <v>164.1</v>
      </c>
      <c r="P62" s="13">
        <v>190.8</v>
      </c>
      <c r="Q62" s="13">
        <v>207.5</v>
      </c>
      <c r="R62" s="13">
        <v>161.19999999999999</v>
      </c>
      <c r="S62" s="13">
        <v>250.7</v>
      </c>
      <c r="T62" s="13">
        <v>300.60000000000002</v>
      </c>
    </row>
    <row r="63" spans="1:20" x14ac:dyDescent="0.3">
      <c r="A63" s="10" t="s">
        <v>370</v>
      </c>
      <c r="B63" s="10" t="s">
        <v>371</v>
      </c>
      <c r="C63" s="13" t="s">
        <v>65</v>
      </c>
      <c r="D63" s="13" t="s">
        <v>65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</row>
    <row r="64" spans="1:20" x14ac:dyDescent="0.3">
      <c r="A64" s="10" t="s">
        <v>372</v>
      </c>
      <c r="B64" s="10" t="s">
        <v>373</v>
      </c>
      <c r="C64" s="13" t="s">
        <v>65</v>
      </c>
      <c r="D64" s="13" t="s">
        <v>65</v>
      </c>
      <c r="E64" s="13">
        <v>75.400000000000006</v>
      </c>
      <c r="F64" s="13">
        <v>129.30000000000001</v>
      </c>
      <c r="G64" s="13">
        <v>120.5</v>
      </c>
      <c r="H64" s="13">
        <v>110.2</v>
      </c>
      <c r="I64" s="13">
        <v>93.5</v>
      </c>
      <c r="J64" s="13">
        <v>99.2</v>
      </c>
      <c r="K64" s="13">
        <v>83.2</v>
      </c>
      <c r="L64" s="13">
        <v>86</v>
      </c>
      <c r="M64" s="13">
        <v>97.8</v>
      </c>
      <c r="N64" s="13">
        <v>88.8</v>
      </c>
      <c r="O64" s="13">
        <v>107.1</v>
      </c>
      <c r="P64" s="13">
        <v>117.3</v>
      </c>
      <c r="Q64" s="13">
        <v>107.5</v>
      </c>
      <c r="R64" s="13">
        <v>77</v>
      </c>
      <c r="S64" s="13">
        <v>83.9</v>
      </c>
      <c r="T64" s="13">
        <v>83.8</v>
      </c>
    </row>
    <row r="65" spans="1:20" x14ac:dyDescent="0.3">
      <c r="A65" s="10" t="s">
        <v>350</v>
      </c>
      <c r="B65" s="10" t="s">
        <v>374</v>
      </c>
      <c r="C65" s="13" t="s">
        <v>65</v>
      </c>
      <c r="D65" s="13" t="s">
        <v>65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</row>
    <row r="66" spans="1:20" x14ac:dyDescent="0.3">
      <c r="A66" s="10" t="s">
        <v>375</v>
      </c>
      <c r="B66" s="10" t="s">
        <v>376</v>
      </c>
      <c r="C66" s="13" t="s">
        <v>65</v>
      </c>
      <c r="D66" s="13" t="s">
        <v>65</v>
      </c>
      <c r="E66" s="13">
        <v>28</v>
      </c>
      <c r="F66" s="13">
        <v>36.200000000000003</v>
      </c>
      <c r="G66" s="13">
        <v>27.6</v>
      </c>
      <c r="H66" s="13">
        <v>13.5</v>
      </c>
      <c r="I66" s="13">
        <v>17.899999999999999</v>
      </c>
      <c r="J66" s="13">
        <v>17.100000000000001</v>
      </c>
      <c r="K66" s="13">
        <v>25.8</v>
      </c>
      <c r="L66" s="13">
        <v>34.799999999999997</v>
      </c>
      <c r="M66" s="13">
        <v>27.8</v>
      </c>
      <c r="N66" s="13">
        <v>25.5</v>
      </c>
      <c r="O66" s="13">
        <v>28.4</v>
      </c>
      <c r="P66" s="13">
        <v>32.299999999999997</v>
      </c>
      <c r="Q66" s="13">
        <v>60.2</v>
      </c>
      <c r="R66" s="13">
        <v>51.7</v>
      </c>
      <c r="S66" s="13">
        <v>42.2</v>
      </c>
      <c r="T66" s="13">
        <v>49.4</v>
      </c>
    </row>
    <row r="67" spans="1:20" x14ac:dyDescent="0.3">
      <c r="A67" s="10" t="s">
        <v>352</v>
      </c>
      <c r="B67" s="10" t="s">
        <v>377</v>
      </c>
      <c r="C67" s="13" t="s">
        <v>65</v>
      </c>
      <c r="D67" s="13" t="s">
        <v>65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 t="s">
        <v>65</v>
      </c>
      <c r="L67" s="13">
        <v>0</v>
      </c>
      <c r="M67" s="13">
        <v>0</v>
      </c>
      <c r="N67" s="13">
        <v>0</v>
      </c>
      <c r="O67" s="13" t="s">
        <v>65</v>
      </c>
      <c r="P67" s="13" t="s">
        <v>65</v>
      </c>
      <c r="Q67" s="13" t="s">
        <v>65</v>
      </c>
      <c r="R67" s="13">
        <v>0</v>
      </c>
      <c r="S67" s="13">
        <v>0</v>
      </c>
      <c r="T67" s="13">
        <v>0</v>
      </c>
    </row>
    <row r="68" spans="1:20" x14ac:dyDescent="0.3">
      <c r="A68" s="10" t="s">
        <v>378</v>
      </c>
      <c r="B68" s="10" t="s">
        <v>379</v>
      </c>
      <c r="C68" s="13">
        <v>147.4</v>
      </c>
      <c r="D68" s="13">
        <v>120.2</v>
      </c>
      <c r="E68" s="13">
        <v>7.1</v>
      </c>
      <c r="F68" s="13">
        <v>12.9</v>
      </c>
      <c r="G68" s="13">
        <v>11.1</v>
      </c>
      <c r="H68" s="13">
        <v>13.5</v>
      </c>
      <c r="I68" s="13">
        <v>16.3</v>
      </c>
      <c r="J68" s="13">
        <v>18.100000000000001</v>
      </c>
      <c r="K68" s="13">
        <v>28</v>
      </c>
      <c r="L68" s="13">
        <v>28.3</v>
      </c>
      <c r="M68" s="13">
        <v>35.4</v>
      </c>
      <c r="N68" s="13">
        <v>20.6</v>
      </c>
      <c r="O68" s="13">
        <v>28.6</v>
      </c>
      <c r="P68" s="13">
        <v>41.2</v>
      </c>
      <c r="Q68" s="13">
        <v>39.799999999999997</v>
      </c>
      <c r="R68" s="13">
        <v>32.5</v>
      </c>
      <c r="S68" s="13">
        <v>124.6</v>
      </c>
      <c r="T68" s="13">
        <v>167.4</v>
      </c>
    </row>
    <row r="69" spans="1:20" x14ac:dyDescent="0.3">
      <c r="A69" s="6" t="s">
        <v>380</v>
      </c>
      <c r="B69" s="6" t="s">
        <v>381</v>
      </c>
      <c r="C69" s="19">
        <v>905.7</v>
      </c>
      <c r="D69" s="19">
        <v>852.3</v>
      </c>
      <c r="E69" s="19">
        <v>110.5</v>
      </c>
      <c r="F69" s="19">
        <v>178.4</v>
      </c>
      <c r="G69" s="19">
        <v>159.19999999999999</v>
      </c>
      <c r="H69" s="19">
        <v>137.19999999999999</v>
      </c>
      <c r="I69" s="19">
        <v>127.7</v>
      </c>
      <c r="J69" s="19">
        <v>134.4</v>
      </c>
      <c r="K69" s="19">
        <v>387.6</v>
      </c>
      <c r="L69" s="19">
        <v>337.8</v>
      </c>
      <c r="M69" s="19">
        <v>327.5</v>
      </c>
      <c r="N69" s="19">
        <v>785.1</v>
      </c>
      <c r="O69" s="19">
        <v>723.2</v>
      </c>
      <c r="P69" s="19">
        <v>676.9</v>
      </c>
      <c r="Q69" s="19">
        <v>950.4</v>
      </c>
      <c r="R69" s="19">
        <v>895.1</v>
      </c>
      <c r="S69" s="19">
        <v>899</v>
      </c>
      <c r="T69" s="19">
        <v>1070.8</v>
      </c>
    </row>
    <row r="70" spans="1:20" x14ac:dyDescent="0.3">
      <c r="A70" s="6" t="s">
        <v>382</v>
      </c>
      <c r="B70" s="6" t="s">
        <v>383</v>
      </c>
      <c r="C70" s="19">
        <v>2352.3000000000002</v>
      </c>
      <c r="D70" s="19">
        <v>2420.6999999999998</v>
      </c>
      <c r="E70" s="19">
        <v>1630.3</v>
      </c>
      <c r="F70" s="19">
        <v>1731</v>
      </c>
      <c r="G70" s="19">
        <v>1505.8</v>
      </c>
      <c r="H70" s="19">
        <v>1336.1</v>
      </c>
      <c r="I70" s="19">
        <v>1236.9000000000001</v>
      </c>
      <c r="J70" s="19">
        <v>1188.7</v>
      </c>
      <c r="K70" s="19">
        <v>1521</v>
      </c>
      <c r="L70" s="19">
        <v>1583.5</v>
      </c>
      <c r="M70" s="19">
        <v>1594</v>
      </c>
      <c r="N70" s="19">
        <v>2405.4</v>
      </c>
      <c r="O70" s="19">
        <v>2204.5</v>
      </c>
      <c r="P70" s="19">
        <v>2255.1</v>
      </c>
      <c r="Q70" s="19">
        <v>3203.9</v>
      </c>
      <c r="R70" s="19">
        <v>3950.3</v>
      </c>
      <c r="S70" s="19">
        <v>4119.5</v>
      </c>
      <c r="T70" s="19">
        <v>4092.2</v>
      </c>
    </row>
    <row r="71" spans="1:20" x14ac:dyDescent="0.3">
      <c r="A71" s="10" t="s">
        <v>384</v>
      </c>
      <c r="B71" s="10" t="s">
        <v>44</v>
      </c>
      <c r="C71" s="13">
        <v>0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</row>
    <row r="72" spans="1:20" x14ac:dyDescent="0.3">
      <c r="A72" s="10" t="s">
        <v>385</v>
      </c>
      <c r="B72" s="10" t="s">
        <v>386</v>
      </c>
      <c r="C72" s="13">
        <v>3778.6001000000001</v>
      </c>
      <c r="D72" s="13">
        <v>3792.8998999999999</v>
      </c>
      <c r="E72" s="13">
        <v>3801.8</v>
      </c>
      <c r="F72" s="13">
        <v>3690.3</v>
      </c>
      <c r="G72" s="13">
        <v>3717.5</v>
      </c>
      <c r="H72" s="13">
        <v>3427.9</v>
      </c>
      <c r="I72" s="13">
        <v>3393.7</v>
      </c>
      <c r="J72" s="13">
        <v>3286.6</v>
      </c>
      <c r="K72" s="13">
        <v>2940.6</v>
      </c>
      <c r="L72" s="13">
        <v>2910.8</v>
      </c>
      <c r="M72" s="13">
        <v>2911.3</v>
      </c>
      <c r="N72" s="13">
        <v>2860.7</v>
      </c>
      <c r="O72" s="13">
        <v>2814.7</v>
      </c>
      <c r="P72" s="13">
        <v>2808.7</v>
      </c>
      <c r="Q72" s="13">
        <v>2794.3</v>
      </c>
      <c r="R72" s="13">
        <v>2778.5</v>
      </c>
      <c r="S72" s="13">
        <v>2703.1</v>
      </c>
      <c r="T72" s="13">
        <v>2430.3000000000002</v>
      </c>
    </row>
    <row r="73" spans="1:20" x14ac:dyDescent="0.3">
      <c r="A73" s="10" t="s">
        <v>387</v>
      </c>
      <c r="B73" s="10" t="s">
        <v>388</v>
      </c>
      <c r="C73" s="13" t="s">
        <v>65</v>
      </c>
      <c r="D73" s="13" t="s">
        <v>65</v>
      </c>
      <c r="E73" s="13">
        <v>3591.2</v>
      </c>
      <c r="F73" s="13">
        <v>3329.4</v>
      </c>
      <c r="G73" s="13">
        <v>3348</v>
      </c>
      <c r="H73" s="13">
        <v>2774.7</v>
      </c>
      <c r="I73" s="13">
        <v>2712</v>
      </c>
      <c r="J73" s="13">
        <v>2609.5</v>
      </c>
      <c r="K73" s="13">
        <v>2093.9</v>
      </c>
      <c r="L73" s="13">
        <v>2048.1999999999998</v>
      </c>
      <c r="M73" s="13">
        <v>2048.3000000000002</v>
      </c>
      <c r="N73" s="13">
        <v>1954.1</v>
      </c>
      <c r="O73" s="13">
        <v>1832.1</v>
      </c>
      <c r="P73" s="13">
        <v>1834.2</v>
      </c>
      <c r="Q73" s="13">
        <v>1764.5</v>
      </c>
      <c r="R73" s="13">
        <v>1714.9</v>
      </c>
      <c r="S73" s="13">
        <v>1672.5</v>
      </c>
      <c r="T73" s="13">
        <v>1632.8</v>
      </c>
    </row>
    <row r="74" spans="1:20" x14ac:dyDescent="0.3">
      <c r="A74" s="10" t="s">
        <v>389</v>
      </c>
      <c r="B74" s="10" t="s">
        <v>390</v>
      </c>
      <c r="C74" s="13" t="s">
        <v>65</v>
      </c>
      <c r="D74" s="13" t="s">
        <v>65</v>
      </c>
      <c r="E74" s="13">
        <v>210.6</v>
      </c>
      <c r="F74" s="13">
        <v>360.9</v>
      </c>
      <c r="G74" s="13">
        <v>369.5</v>
      </c>
      <c r="H74" s="13">
        <v>653.20000000000005</v>
      </c>
      <c r="I74" s="13">
        <v>681.7</v>
      </c>
      <c r="J74" s="13">
        <v>677.1</v>
      </c>
      <c r="K74" s="13">
        <v>846.7</v>
      </c>
      <c r="L74" s="13">
        <v>862.6</v>
      </c>
      <c r="M74" s="13">
        <v>863</v>
      </c>
      <c r="N74" s="13">
        <v>906.6</v>
      </c>
      <c r="O74" s="13">
        <v>982.6</v>
      </c>
      <c r="P74" s="13">
        <v>974.5</v>
      </c>
      <c r="Q74" s="13">
        <v>1029.8</v>
      </c>
      <c r="R74" s="13">
        <v>1063.5999999999999</v>
      </c>
      <c r="S74" s="13">
        <v>1030.5999999999999</v>
      </c>
      <c r="T74" s="13">
        <v>797.5</v>
      </c>
    </row>
    <row r="75" spans="1:20" x14ac:dyDescent="0.3">
      <c r="A75" s="10" t="s">
        <v>391</v>
      </c>
      <c r="B75" s="10" t="s">
        <v>392</v>
      </c>
      <c r="C75" s="13">
        <v>0</v>
      </c>
      <c r="D75" s="13">
        <v>0</v>
      </c>
      <c r="E75" s="13">
        <v>0</v>
      </c>
      <c r="F75" s="13">
        <v>15.9</v>
      </c>
      <c r="G75" s="13">
        <v>37.9</v>
      </c>
      <c r="H75" s="13">
        <v>18.3</v>
      </c>
      <c r="I75" s="13">
        <v>12</v>
      </c>
      <c r="J75" s="13">
        <v>21.4</v>
      </c>
      <c r="K75" s="13">
        <v>31.4</v>
      </c>
      <c r="L75" s="13">
        <v>15.3</v>
      </c>
      <c r="M75" s="13">
        <v>8.6999999999999993</v>
      </c>
      <c r="N75" s="13">
        <v>20.2</v>
      </c>
      <c r="O75" s="13">
        <v>14.8</v>
      </c>
      <c r="P75" s="13">
        <v>15.7</v>
      </c>
      <c r="Q75" s="13">
        <v>48.9</v>
      </c>
      <c r="R75" s="13">
        <v>18.5</v>
      </c>
      <c r="S75" s="13">
        <v>80.099999999999994</v>
      </c>
      <c r="T75" s="13">
        <v>92.9</v>
      </c>
    </row>
    <row r="76" spans="1:20" x14ac:dyDescent="0.3">
      <c r="A76" s="10" t="s">
        <v>393</v>
      </c>
      <c r="B76" s="10" t="s">
        <v>394</v>
      </c>
      <c r="C76" s="13">
        <v>-1716.3</v>
      </c>
      <c r="D76" s="13">
        <v>-2436.8000000000002</v>
      </c>
      <c r="E76" s="13">
        <v>-2381.8000000000002</v>
      </c>
      <c r="F76" s="13">
        <v>-2403.8000000000002</v>
      </c>
      <c r="G76" s="13">
        <v>-2203.5</v>
      </c>
      <c r="H76" s="13">
        <v>-2091</v>
      </c>
      <c r="I76" s="13">
        <v>-1965.4</v>
      </c>
      <c r="J76" s="13">
        <v>-1845.3</v>
      </c>
      <c r="K76" s="13">
        <v>-1785.4</v>
      </c>
      <c r="L76" s="13">
        <v>-1632</v>
      </c>
      <c r="M76" s="13">
        <v>-1525.7</v>
      </c>
      <c r="N76" s="13">
        <v>-1481.7</v>
      </c>
      <c r="O76" s="13">
        <v>-1420.1</v>
      </c>
      <c r="P76" s="13">
        <v>-1368.8</v>
      </c>
      <c r="Q76" s="13">
        <v>-1255.5999999999999</v>
      </c>
      <c r="R76" s="13">
        <v>-1076.5999999999999</v>
      </c>
      <c r="S76" s="13">
        <v>-851.8</v>
      </c>
      <c r="T76" s="13">
        <v>-423.8</v>
      </c>
    </row>
    <row r="77" spans="1:20" x14ac:dyDescent="0.3">
      <c r="A77" s="10" t="s">
        <v>395</v>
      </c>
      <c r="B77" s="10" t="s">
        <v>396</v>
      </c>
      <c r="C77" s="13">
        <v>55.9</v>
      </c>
      <c r="D77" s="13">
        <v>9.4001000000000001</v>
      </c>
      <c r="E77" s="13">
        <v>55.8</v>
      </c>
      <c r="F77" s="13">
        <v>12.3</v>
      </c>
      <c r="G77" s="13">
        <v>-12.3</v>
      </c>
      <c r="H77" s="13">
        <v>4.0999999999999996</v>
      </c>
      <c r="I77" s="13">
        <v>-14.3</v>
      </c>
      <c r="J77" s="13">
        <v>-25</v>
      </c>
      <c r="K77" s="13">
        <v>-32.799999999999997</v>
      </c>
      <c r="L77" s="13">
        <v>-24.7</v>
      </c>
      <c r="M77" s="13">
        <v>-6.7</v>
      </c>
      <c r="N77" s="13">
        <v>-26.5</v>
      </c>
      <c r="O77" s="13">
        <v>-23.6</v>
      </c>
      <c r="P77" s="13">
        <v>-15.2</v>
      </c>
      <c r="Q77" s="13">
        <v>-26.8</v>
      </c>
      <c r="R77" s="13">
        <v>-5.7</v>
      </c>
      <c r="S77" s="13">
        <v>-0.2</v>
      </c>
      <c r="T77" s="13">
        <v>-17.600000000000001</v>
      </c>
    </row>
    <row r="78" spans="1:20" x14ac:dyDescent="0.3">
      <c r="A78" s="6" t="s">
        <v>397</v>
      </c>
      <c r="B78" s="6" t="s">
        <v>398</v>
      </c>
      <c r="C78" s="19">
        <v>2118.2001</v>
      </c>
      <c r="D78" s="19">
        <v>1365.5</v>
      </c>
      <c r="E78" s="19">
        <v>1475.8</v>
      </c>
      <c r="F78" s="19">
        <v>1282.9000000000001</v>
      </c>
      <c r="G78" s="19">
        <v>1463.8</v>
      </c>
      <c r="H78" s="19">
        <v>1322.7</v>
      </c>
      <c r="I78" s="19">
        <v>1402</v>
      </c>
      <c r="J78" s="19">
        <v>1394.9</v>
      </c>
      <c r="K78" s="19">
        <v>1091</v>
      </c>
      <c r="L78" s="19">
        <v>1238.8</v>
      </c>
      <c r="M78" s="19">
        <v>1370.2</v>
      </c>
      <c r="N78" s="19">
        <v>1332.3</v>
      </c>
      <c r="O78" s="19">
        <v>1356.2</v>
      </c>
      <c r="P78" s="19">
        <v>1409</v>
      </c>
      <c r="Q78" s="19">
        <v>1463</v>
      </c>
      <c r="R78" s="19">
        <v>1677.7</v>
      </c>
      <c r="S78" s="19">
        <v>1771</v>
      </c>
      <c r="T78" s="19">
        <v>1896</v>
      </c>
    </row>
    <row r="79" spans="1:20" x14ac:dyDescent="0.3">
      <c r="A79" s="10" t="s">
        <v>399</v>
      </c>
      <c r="B79" s="10" t="s">
        <v>46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</row>
    <row r="80" spans="1:20" x14ac:dyDescent="0.3">
      <c r="A80" s="6" t="s">
        <v>400</v>
      </c>
      <c r="B80" s="6" t="s">
        <v>401</v>
      </c>
      <c r="C80" s="19">
        <v>2118.2001</v>
      </c>
      <c r="D80" s="19">
        <v>1365.5</v>
      </c>
      <c r="E80" s="19">
        <v>1475.8</v>
      </c>
      <c r="F80" s="19">
        <v>1282.9000000000001</v>
      </c>
      <c r="G80" s="19">
        <v>1463.8</v>
      </c>
      <c r="H80" s="19">
        <v>1322.7</v>
      </c>
      <c r="I80" s="19">
        <v>1402</v>
      </c>
      <c r="J80" s="19">
        <v>1394.9</v>
      </c>
      <c r="K80" s="19">
        <v>1091</v>
      </c>
      <c r="L80" s="19">
        <v>1238.8</v>
      </c>
      <c r="M80" s="19">
        <v>1370.2</v>
      </c>
      <c r="N80" s="19">
        <v>1332.3</v>
      </c>
      <c r="O80" s="19">
        <v>1356.2</v>
      </c>
      <c r="P80" s="19">
        <v>1409</v>
      </c>
      <c r="Q80" s="19">
        <v>1463</v>
      </c>
      <c r="R80" s="19">
        <v>1677.7</v>
      </c>
      <c r="S80" s="19">
        <v>1771</v>
      </c>
      <c r="T80" s="19">
        <v>1896</v>
      </c>
    </row>
    <row r="81" spans="1:20" x14ac:dyDescent="0.3">
      <c r="A81" s="6" t="s">
        <v>402</v>
      </c>
      <c r="B81" s="6" t="s">
        <v>403</v>
      </c>
      <c r="C81" s="19">
        <v>4470.5</v>
      </c>
      <c r="D81" s="19">
        <v>3786.2</v>
      </c>
      <c r="E81" s="19">
        <v>3106.1</v>
      </c>
      <c r="F81" s="19">
        <v>3013.9</v>
      </c>
      <c r="G81" s="19">
        <v>2969.6</v>
      </c>
      <c r="H81" s="19">
        <v>2658.8</v>
      </c>
      <c r="I81" s="19">
        <v>2638.9</v>
      </c>
      <c r="J81" s="19">
        <v>2583.6</v>
      </c>
      <c r="K81" s="19">
        <v>2612</v>
      </c>
      <c r="L81" s="19">
        <v>2822.3</v>
      </c>
      <c r="M81" s="19">
        <v>2964.2</v>
      </c>
      <c r="N81" s="19">
        <v>3737.7</v>
      </c>
      <c r="O81" s="19">
        <v>3560.7</v>
      </c>
      <c r="P81" s="19">
        <v>3664.1</v>
      </c>
      <c r="Q81" s="19">
        <v>4666.8999999999996</v>
      </c>
      <c r="R81" s="19">
        <v>5628</v>
      </c>
      <c r="S81" s="19">
        <v>5890.5</v>
      </c>
      <c r="T81" s="19">
        <v>5988.2</v>
      </c>
    </row>
    <row r="82" spans="1:20" x14ac:dyDescent="0.3">
      <c r="A82" s="6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</row>
    <row r="83" spans="1:20" x14ac:dyDescent="0.3">
      <c r="A83" s="6" t="s">
        <v>74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</row>
    <row r="84" spans="1:20" x14ac:dyDescent="0.3">
      <c r="A84" s="10" t="s">
        <v>232</v>
      </c>
      <c r="B84" s="10" t="s">
        <v>233</v>
      </c>
      <c r="C84" s="12" t="s">
        <v>404</v>
      </c>
      <c r="D84" s="12" t="s">
        <v>404</v>
      </c>
      <c r="E84" s="12" t="s">
        <v>404</v>
      </c>
      <c r="F84" s="12" t="s">
        <v>234</v>
      </c>
      <c r="G84" s="12" t="s">
        <v>234</v>
      </c>
      <c r="H84" s="12" t="s">
        <v>234</v>
      </c>
      <c r="I84" s="12" t="s">
        <v>234</v>
      </c>
      <c r="J84" s="12" t="s">
        <v>234</v>
      </c>
      <c r="K84" s="12" t="s">
        <v>234</v>
      </c>
      <c r="L84" s="12" t="s">
        <v>234</v>
      </c>
      <c r="M84" s="12" t="s">
        <v>234</v>
      </c>
      <c r="N84" s="12" t="s">
        <v>234</v>
      </c>
      <c r="O84" s="12" t="s">
        <v>234</v>
      </c>
      <c r="P84" s="12" t="s">
        <v>234</v>
      </c>
      <c r="Q84" s="12" t="s">
        <v>234</v>
      </c>
      <c r="R84" s="12" t="s">
        <v>234</v>
      </c>
      <c r="S84" s="12" t="s">
        <v>234</v>
      </c>
      <c r="T84" s="12" t="s">
        <v>234</v>
      </c>
    </row>
    <row r="85" spans="1:20" x14ac:dyDescent="0.3">
      <c r="A85" s="10" t="s">
        <v>405</v>
      </c>
      <c r="B85" s="10" t="s">
        <v>406</v>
      </c>
      <c r="C85" s="13">
        <v>228.8</v>
      </c>
      <c r="D85" s="13">
        <v>229.2</v>
      </c>
      <c r="E85" s="13">
        <v>229.5</v>
      </c>
      <c r="F85" s="13">
        <v>214.2</v>
      </c>
      <c r="G85" s="13">
        <v>216.5</v>
      </c>
      <c r="H85" s="13">
        <v>182.7</v>
      </c>
      <c r="I85" s="13">
        <v>180.9</v>
      </c>
      <c r="J85" s="13">
        <v>174.5</v>
      </c>
      <c r="K85" s="13">
        <v>143.4</v>
      </c>
      <c r="L85" s="13">
        <v>140.80000000000001</v>
      </c>
      <c r="M85" s="13">
        <v>141.80000000000001</v>
      </c>
      <c r="N85" s="13">
        <v>136.30000000000001</v>
      </c>
      <c r="O85" s="13">
        <v>128.80000000000001</v>
      </c>
      <c r="P85" s="13">
        <v>129.1</v>
      </c>
      <c r="Q85" s="13">
        <v>124.7</v>
      </c>
      <c r="R85" s="13">
        <v>121.6</v>
      </c>
      <c r="S85" s="13">
        <v>119</v>
      </c>
      <c r="T85" s="13">
        <v>116.1</v>
      </c>
    </row>
    <row r="86" spans="1:20" x14ac:dyDescent="0.3">
      <c r="A86" s="10" t="s">
        <v>407</v>
      </c>
      <c r="B86" s="10" t="s">
        <v>408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 t="s">
        <v>65</v>
      </c>
      <c r="J86" s="13" t="s">
        <v>65</v>
      </c>
      <c r="K86" s="13" t="s">
        <v>65</v>
      </c>
      <c r="L86" s="13" t="s">
        <v>65</v>
      </c>
      <c r="M86" s="13" t="s">
        <v>65</v>
      </c>
      <c r="N86" s="13" t="s">
        <v>65</v>
      </c>
      <c r="O86" s="13" t="s">
        <v>65</v>
      </c>
      <c r="P86" s="13" t="s">
        <v>65</v>
      </c>
      <c r="Q86" s="13">
        <v>18.600200000000001</v>
      </c>
      <c r="R86" s="13" t="s">
        <v>65</v>
      </c>
      <c r="S86" s="13" t="s">
        <v>65</v>
      </c>
      <c r="T86" s="13" t="s">
        <v>65</v>
      </c>
    </row>
    <row r="87" spans="1:20" x14ac:dyDescent="0.3">
      <c r="A87" s="10" t="s">
        <v>409</v>
      </c>
      <c r="B87" s="10" t="s">
        <v>410</v>
      </c>
      <c r="C87" s="13">
        <v>70.400000000000006</v>
      </c>
      <c r="D87" s="13">
        <v>63.2</v>
      </c>
      <c r="E87" s="13">
        <v>75.400000000000006</v>
      </c>
      <c r="F87" s="13">
        <v>129.30000000000001</v>
      </c>
      <c r="G87" s="13">
        <v>120.5</v>
      </c>
      <c r="H87" s="13">
        <v>110.2</v>
      </c>
      <c r="I87" s="13">
        <v>93.5</v>
      </c>
      <c r="J87" s="13">
        <v>99.2</v>
      </c>
      <c r="K87" s="13">
        <v>83.2</v>
      </c>
      <c r="L87" s="13">
        <v>86</v>
      </c>
      <c r="M87" s="13">
        <v>97.8</v>
      </c>
      <c r="N87" s="13">
        <v>88.8</v>
      </c>
      <c r="O87" s="13">
        <v>107.1</v>
      </c>
      <c r="P87" s="13">
        <v>117.3</v>
      </c>
      <c r="Q87" s="13">
        <v>107.5</v>
      </c>
      <c r="R87" s="13">
        <v>77</v>
      </c>
      <c r="S87" s="13">
        <v>83.9</v>
      </c>
      <c r="T87" s="13">
        <v>83.8</v>
      </c>
    </row>
    <row r="88" spans="1:20" x14ac:dyDescent="0.3">
      <c r="A88" s="10" t="s">
        <v>411</v>
      </c>
      <c r="B88" s="10" t="s">
        <v>412</v>
      </c>
      <c r="C88" s="13">
        <v>184.6</v>
      </c>
      <c r="D88" s="13">
        <v>151.5</v>
      </c>
      <c r="E88" s="13">
        <v>117.8</v>
      </c>
      <c r="F88" s="13">
        <v>99.5</v>
      </c>
      <c r="G88" s="13">
        <v>104.4</v>
      </c>
      <c r="H88" s="13">
        <v>75.400000000000006</v>
      </c>
      <c r="I88" s="13">
        <v>70.5</v>
      </c>
      <c r="J88" s="13">
        <v>69.7</v>
      </c>
      <c r="K88" s="13">
        <v>85.7</v>
      </c>
      <c r="L88" s="13">
        <v>70.400000000000006</v>
      </c>
      <c r="M88" s="13">
        <v>116.4</v>
      </c>
      <c r="N88" s="13">
        <v>107.4</v>
      </c>
      <c r="O88" s="13">
        <v>129.4</v>
      </c>
      <c r="P88" s="13">
        <v>141.30000000000001</v>
      </c>
      <c r="Q88" s="13" t="s">
        <v>65</v>
      </c>
      <c r="R88" s="13" t="s">
        <v>65</v>
      </c>
      <c r="S88" s="13" t="s">
        <v>65</v>
      </c>
      <c r="T88" s="13" t="s">
        <v>65</v>
      </c>
    </row>
    <row r="89" spans="1:20" x14ac:dyDescent="0.3">
      <c r="A89" s="10" t="s">
        <v>413</v>
      </c>
      <c r="B89" s="10" t="s">
        <v>414</v>
      </c>
      <c r="C89" s="13">
        <v>0.2</v>
      </c>
      <c r="D89" s="13">
        <v>1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19</v>
      </c>
      <c r="L89" s="13">
        <v>18.399999999999999</v>
      </c>
      <c r="M89" s="13">
        <v>17.7</v>
      </c>
      <c r="N89" s="13">
        <v>10.4</v>
      </c>
      <c r="O89" s="13">
        <v>4.9000000000000004</v>
      </c>
      <c r="P89" s="13">
        <v>8.1999999999999993</v>
      </c>
      <c r="Q89" s="13" t="s">
        <v>65</v>
      </c>
      <c r="R89" s="13" t="s">
        <v>65</v>
      </c>
      <c r="S89" s="13">
        <v>0</v>
      </c>
      <c r="T89" s="13">
        <v>0</v>
      </c>
    </row>
    <row r="90" spans="1:20" x14ac:dyDescent="0.3">
      <c r="A90" s="10" t="s">
        <v>415</v>
      </c>
      <c r="B90" s="10" t="s">
        <v>416</v>
      </c>
      <c r="C90" s="13">
        <v>2.7</v>
      </c>
      <c r="D90" s="13">
        <v>2.4</v>
      </c>
      <c r="E90" s="13">
        <v>2.4</v>
      </c>
      <c r="F90" s="13">
        <v>0.8</v>
      </c>
      <c r="G90" s="13">
        <v>0.9</v>
      </c>
      <c r="H90" s="13">
        <v>1.1000000000000001</v>
      </c>
      <c r="I90" s="13">
        <v>1</v>
      </c>
      <c r="J90" s="13">
        <v>0</v>
      </c>
      <c r="K90" s="13">
        <v>0.3</v>
      </c>
      <c r="L90" s="13">
        <v>0</v>
      </c>
      <c r="M90" s="13">
        <v>0</v>
      </c>
      <c r="N90" s="13" t="s">
        <v>65</v>
      </c>
      <c r="O90" s="13" t="s">
        <v>65</v>
      </c>
      <c r="P90" s="13" t="s">
        <v>65</v>
      </c>
      <c r="Q90" s="13">
        <v>0.09</v>
      </c>
      <c r="R90" s="13">
        <v>0</v>
      </c>
      <c r="S90" s="13">
        <v>0</v>
      </c>
      <c r="T90" s="13">
        <v>0</v>
      </c>
    </row>
    <row r="91" spans="1:20" x14ac:dyDescent="0.3">
      <c r="A91" s="10" t="s">
        <v>417</v>
      </c>
      <c r="B91" s="10" t="s">
        <v>418</v>
      </c>
      <c r="C91" s="13">
        <v>8.1999999999999993</v>
      </c>
      <c r="D91" s="13">
        <v>9.1</v>
      </c>
      <c r="E91" s="13">
        <v>10.4</v>
      </c>
      <c r="F91" s="13">
        <v>10.5</v>
      </c>
      <c r="G91" s="13">
        <v>8.1</v>
      </c>
      <c r="H91" s="13">
        <v>6</v>
      </c>
      <c r="I91" s="13">
        <v>5.3</v>
      </c>
      <c r="J91" s="13">
        <v>3.3</v>
      </c>
      <c r="K91" s="13">
        <v>2.9</v>
      </c>
      <c r="L91" s="13">
        <v>2.1</v>
      </c>
      <c r="M91" s="13">
        <v>0.4</v>
      </c>
      <c r="N91" s="13">
        <v>0.3</v>
      </c>
      <c r="O91" s="13">
        <v>0.3</v>
      </c>
      <c r="P91" s="13">
        <v>0.3</v>
      </c>
      <c r="Q91" s="13">
        <v>0.4</v>
      </c>
      <c r="R91" s="13">
        <v>0.4</v>
      </c>
      <c r="S91" s="13">
        <v>0</v>
      </c>
      <c r="T91" s="13">
        <v>7.0000000000000007E-2</v>
      </c>
    </row>
    <row r="92" spans="1:20" x14ac:dyDescent="0.3">
      <c r="A92" s="10" t="s">
        <v>419</v>
      </c>
      <c r="B92" s="10" t="s">
        <v>420</v>
      </c>
      <c r="C92" s="13">
        <v>-358.2</v>
      </c>
      <c r="D92" s="13">
        <v>-467.9</v>
      </c>
      <c r="E92" s="13">
        <v>-714.9</v>
      </c>
      <c r="F92" s="13">
        <v>-632.79999999999995</v>
      </c>
      <c r="G92" s="13">
        <v>-658.9</v>
      </c>
      <c r="H92" s="13">
        <v>-495.5</v>
      </c>
      <c r="I92" s="13">
        <v>-544.29999999999995</v>
      </c>
      <c r="J92" s="13">
        <v>-565</v>
      </c>
      <c r="K92" s="13">
        <v>-265.60000000000002</v>
      </c>
      <c r="L92" s="13">
        <v>-312.5</v>
      </c>
      <c r="M92" s="13">
        <v>-310.8</v>
      </c>
      <c r="N92" s="13">
        <v>335.9</v>
      </c>
      <c r="O92" s="13">
        <v>219.2</v>
      </c>
      <c r="P92" s="13">
        <v>122.1</v>
      </c>
      <c r="Q92" s="13">
        <v>400.4</v>
      </c>
      <c r="R92" s="13">
        <v>411.6</v>
      </c>
      <c r="S92" s="13">
        <v>304.89999999999998</v>
      </c>
      <c r="T92" s="13">
        <v>373.4</v>
      </c>
    </row>
    <row r="93" spans="1:20" x14ac:dyDescent="0.3">
      <c r="A93" s="10" t="s">
        <v>421</v>
      </c>
      <c r="B93" s="10" t="s">
        <v>422</v>
      </c>
      <c r="C93" s="14">
        <v>-16.910599999999999</v>
      </c>
      <c r="D93" s="14">
        <v>-34.265799999999999</v>
      </c>
      <c r="E93" s="14">
        <v>-48.441499999999998</v>
      </c>
      <c r="F93" s="14">
        <v>-49.325699999999998</v>
      </c>
      <c r="G93" s="14">
        <v>-45.012999999999998</v>
      </c>
      <c r="H93" s="14">
        <v>-37.461300000000001</v>
      </c>
      <c r="I93" s="14">
        <v>-38.823099999999997</v>
      </c>
      <c r="J93" s="14">
        <v>-40.5047</v>
      </c>
      <c r="K93" s="14">
        <v>-24.3446</v>
      </c>
      <c r="L93" s="14">
        <v>-25.225999999999999</v>
      </c>
      <c r="M93" s="14">
        <v>-22.6828</v>
      </c>
      <c r="N93" s="14">
        <v>25.212</v>
      </c>
      <c r="O93" s="14">
        <v>16.162800000000001</v>
      </c>
      <c r="P93" s="14">
        <v>8.6656999999999993</v>
      </c>
      <c r="Q93" s="14">
        <v>27.368400000000001</v>
      </c>
      <c r="R93" s="14">
        <v>24.5336</v>
      </c>
      <c r="S93" s="14">
        <v>17.2163</v>
      </c>
      <c r="T93" s="14">
        <v>19.694099999999999</v>
      </c>
    </row>
    <row r="94" spans="1:20" x14ac:dyDescent="0.3">
      <c r="A94" s="10" t="s">
        <v>423</v>
      </c>
      <c r="B94" s="10" t="s">
        <v>424</v>
      </c>
      <c r="C94" s="14">
        <v>34.381300000000003</v>
      </c>
      <c r="D94" s="14">
        <v>35.723999999999997</v>
      </c>
      <c r="E94" s="14">
        <v>46.961399999999998</v>
      </c>
      <c r="F94" s="14">
        <v>41.6327</v>
      </c>
      <c r="G94" s="14">
        <v>47.825800000000001</v>
      </c>
      <c r="H94" s="14">
        <v>47.511299999999999</v>
      </c>
      <c r="I94" s="14">
        <v>51.195500000000003</v>
      </c>
      <c r="J94" s="14">
        <v>52.995399999999997</v>
      </c>
      <c r="K94" s="14">
        <v>40.634599999999999</v>
      </c>
      <c r="L94" s="14">
        <v>42.908099999999997</v>
      </c>
      <c r="M94" s="14">
        <v>45.399700000000003</v>
      </c>
      <c r="N94" s="14">
        <v>26.1173</v>
      </c>
      <c r="O94" s="14">
        <v>29.140799999999999</v>
      </c>
      <c r="P94" s="14">
        <v>30.314299999999999</v>
      </c>
      <c r="Q94" s="14">
        <v>19.107700000000001</v>
      </c>
      <c r="R94" s="14">
        <v>20.352</v>
      </c>
      <c r="S94" s="14">
        <v>21.540800000000001</v>
      </c>
      <c r="T94" s="14">
        <v>23.3627</v>
      </c>
    </row>
    <row r="95" spans="1:20" x14ac:dyDescent="0.3">
      <c r="A95" s="10" t="s">
        <v>425</v>
      </c>
      <c r="B95" s="10" t="s">
        <v>426</v>
      </c>
      <c r="C95" s="14">
        <v>2.0735999999999999</v>
      </c>
      <c r="D95" s="14">
        <v>2.0223</v>
      </c>
      <c r="E95" s="14">
        <v>1.6731</v>
      </c>
      <c r="F95" s="14">
        <v>1.6498999999999999</v>
      </c>
      <c r="G95" s="14">
        <v>1.8288</v>
      </c>
      <c r="H95" s="14">
        <v>1.7605</v>
      </c>
      <c r="I95" s="14">
        <v>1.9117</v>
      </c>
      <c r="J95" s="14">
        <v>1.9958</v>
      </c>
      <c r="K95" s="14">
        <v>1.8740000000000001</v>
      </c>
      <c r="L95" s="14">
        <v>1.8836999999999999</v>
      </c>
      <c r="M95" s="14">
        <v>1.9555</v>
      </c>
      <c r="N95" s="14">
        <v>1.7425999999999999</v>
      </c>
      <c r="O95" s="14">
        <v>1.7498</v>
      </c>
      <c r="P95" s="14">
        <v>1.7343999999999999</v>
      </c>
      <c r="Q95" s="14">
        <v>1.5244</v>
      </c>
      <c r="R95" s="14">
        <v>1.4162999999999999</v>
      </c>
      <c r="S95" s="14">
        <v>1.4006000000000001</v>
      </c>
      <c r="T95" s="14">
        <v>1.4934000000000001</v>
      </c>
    </row>
    <row r="96" spans="1:20" x14ac:dyDescent="0.3">
      <c r="A96" s="10" t="s">
        <v>427</v>
      </c>
      <c r="B96" s="10" t="s">
        <v>428</v>
      </c>
      <c r="C96" s="14">
        <v>34.742600000000003</v>
      </c>
      <c r="D96" s="14">
        <v>34.140700000000002</v>
      </c>
      <c r="E96" s="14">
        <v>37.814100000000003</v>
      </c>
      <c r="F96" s="14">
        <v>33.850299999999997</v>
      </c>
      <c r="G96" s="14">
        <v>32.450200000000002</v>
      </c>
      <c r="H96" s="14">
        <v>34.977400000000003</v>
      </c>
      <c r="I96" s="14">
        <v>42.027799999999999</v>
      </c>
      <c r="J96" s="14">
        <v>43.877299999999998</v>
      </c>
      <c r="K96" s="14">
        <v>44.588999999999999</v>
      </c>
      <c r="L96" s="14">
        <v>45.9116</v>
      </c>
      <c r="M96" s="14">
        <v>50.243600000000001</v>
      </c>
      <c r="N96" s="14">
        <v>59.617400000000004</v>
      </c>
      <c r="O96" s="14">
        <v>70.713999999999999</v>
      </c>
      <c r="P96" s="14">
        <v>80.846199999999996</v>
      </c>
      <c r="Q96" s="14">
        <v>108.7063</v>
      </c>
      <c r="R96" s="14">
        <v>111.20310000000001</v>
      </c>
      <c r="S96" s="14">
        <v>114.10290000000001</v>
      </c>
      <c r="T96" s="14">
        <v>98.055499999999995</v>
      </c>
    </row>
    <row r="97" spans="1:20" x14ac:dyDescent="0.3">
      <c r="A97" s="10" t="s">
        <v>429</v>
      </c>
      <c r="B97" s="10" t="s">
        <v>430</v>
      </c>
      <c r="C97" s="14" t="s">
        <v>65</v>
      </c>
      <c r="D97" s="14" t="s">
        <v>65</v>
      </c>
      <c r="E97" s="14" t="s">
        <v>65</v>
      </c>
      <c r="F97" s="14" t="s">
        <v>65</v>
      </c>
      <c r="G97" s="14" t="s">
        <v>65</v>
      </c>
      <c r="H97" s="14" t="s">
        <v>65</v>
      </c>
      <c r="I97" s="14" t="s">
        <v>65</v>
      </c>
      <c r="J97" s="14">
        <v>25000</v>
      </c>
      <c r="K97" s="14">
        <v>26700</v>
      </c>
      <c r="L97" s="14">
        <v>26400</v>
      </c>
      <c r="M97" s="14">
        <v>27500</v>
      </c>
      <c r="N97" s="14">
        <v>28700</v>
      </c>
      <c r="O97" s="14">
        <v>24600</v>
      </c>
      <c r="P97" s="14">
        <v>20550</v>
      </c>
      <c r="Q97" s="14">
        <v>23915</v>
      </c>
      <c r="R97" s="14">
        <v>26324</v>
      </c>
      <c r="S97" s="14">
        <v>26554</v>
      </c>
      <c r="T97" s="14">
        <v>26865</v>
      </c>
    </row>
    <row r="98" spans="1:20" x14ac:dyDescent="0.3">
      <c r="A98" s="7" t="s">
        <v>90</v>
      </c>
      <c r="B98" s="7"/>
      <c r="C98" s="7" t="s">
        <v>91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0"/>
  <sheetViews>
    <sheetView topLeftCell="A11" zoomScale="96" workbookViewId="0">
      <selection activeCell="I52" sqref="I52:S52"/>
    </sheetView>
  </sheetViews>
  <sheetFormatPr defaultRowHeight="14.4" x14ac:dyDescent="0.3"/>
  <cols>
    <col min="1" max="1" width="35.109375" customWidth="1"/>
    <col min="2" max="2" width="0" hidden="1" customWidth="1"/>
    <col min="3" max="8" width="11.88671875" hidden="1" customWidth="1"/>
    <col min="9" max="20" width="11.88671875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 x14ac:dyDescent="0.3">
      <c r="A2" s="8" t="s">
        <v>256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3" t="s">
        <v>1</v>
      </c>
      <c r="B4" s="3"/>
      <c r="C4" s="4" t="s">
        <v>258</v>
      </c>
      <c r="D4" s="4" t="s">
        <v>259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  <c r="T4" s="4" t="s">
        <v>143</v>
      </c>
    </row>
    <row r="5" spans="1:20" x14ac:dyDescent="0.3">
      <c r="A5" s="9" t="s">
        <v>20</v>
      </c>
      <c r="B5" s="9"/>
      <c r="C5" s="5" t="s">
        <v>261</v>
      </c>
      <c r="D5" s="5" t="s">
        <v>262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31</v>
      </c>
      <c r="P5" s="5" t="s">
        <v>32</v>
      </c>
      <c r="Q5" s="5" t="s">
        <v>33</v>
      </c>
      <c r="R5" s="5" t="s">
        <v>34</v>
      </c>
      <c r="S5" s="5" t="s">
        <v>35</v>
      </c>
      <c r="T5" s="5" t="s">
        <v>35</v>
      </c>
    </row>
    <row r="6" spans="1:20" x14ac:dyDescent="0.3">
      <c r="A6" s="6" t="s">
        <v>431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21"/>
    </row>
    <row r="7" spans="1:20" x14ac:dyDescent="0.3">
      <c r="A7" s="10" t="s">
        <v>432</v>
      </c>
      <c r="B7" s="10" t="s">
        <v>433</v>
      </c>
      <c r="C7" s="13">
        <v>-720.5</v>
      </c>
      <c r="D7" s="13">
        <v>55</v>
      </c>
      <c r="E7" s="13">
        <v>101.2</v>
      </c>
      <c r="F7" s="13">
        <v>195.1</v>
      </c>
      <c r="G7" s="13">
        <v>117.7</v>
      </c>
      <c r="H7" s="13">
        <v>118</v>
      </c>
      <c r="I7" s="13">
        <v>108.2</v>
      </c>
      <c r="J7" s="13">
        <v>66.900000000000006</v>
      </c>
      <c r="K7" s="13">
        <v>136.30000000000001</v>
      </c>
      <c r="L7" s="13">
        <v>105.5</v>
      </c>
      <c r="M7" s="13">
        <v>98.9</v>
      </c>
      <c r="N7" s="13">
        <v>70.3</v>
      </c>
      <c r="O7" s="13">
        <v>60.6</v>
      </c>
      <c r="P7" s="13">
        <v>103.9</v>
      </c>
      <c r="Q7" s="13">
        <v>145.5</v>
      </c>
      <c r="R7" s="13">
        <v>244.4</v>
      </c>
      <c r="S7" s="13">
        <v>428</v>
      </c>
      <c r="T7" s="16">
        <v>444.7</v>
      </c>
    </row>
    <row r="8" spans="1:20" x14ac:dyDescent="0.3">
      <c r="A8" s="10" t="s">
        <v>434</v>
      </c>
      <c r="B8" s="10" t="s">
        <v>435</v>
      </c>
      <c r="C8" s="13">
        <v>109.2</v>
      </c>
      <c r="D8" s="13">
        <v>100.4</v>
      </c>
      <c r="E8" s="13">
        <v>87</v>
      </c>
      <c r="F8" s="13">
        <v>77.2</v>
      </c>
      <c r="G8" s="13">
        <v>81.7</v>
      </c>
      <c r="H8" s="13">
        <v>71.7</v>
      </c>
      <c r="I8" s="13">
        <v>68.7</v>
      </c>
      <c r="J8" s="13">
        <v>68.3</v>
      </c>
      <c r="K8" s="13">
        <v>75.599999999999994</v>
      </c>
      <c r="L8" s="13">
        <v>76.5</v>
      </c>
      <c r="M8" s="13">
        <v>89.1</v>
      </c>
      <c r="N8" s="13">
        <v>135.4</v>
      </c>
      <c r="O8" s="13">
        <v>124.7</v>
      </c>
      <c r="P8" s="13">
        <v>126.3</v>
      </c>
      <c r="Q8" s="13">
        <v>144.80000000000001</v>
      </c>
      <c r="R8" s="13">
        <v>130.80000000000001</v>
      </c>
      <c r="S8" s="13">
        <v>151.9</v>
      </c>
      <c r="T8" s="16">
        <v>176.4</v>
      </c>
    </row>
    <row r="9" spans="1:20" x14ac:dyDescent="0.3">
      <c r="A9" s="10" t="s">
        <v>436</v>
      </c>
      <c r="B9" s="10" t="s">
        <v>437</v>
      </c>
      <c r="C9" s="13">
        <v>861.2</v>
      </c>
      <c r="D9" s="13">
        <v>9.1</v>
      </c>
      <c r="E9" s="13">
        <v>52.8</v>
      </c>
      <c r="F9" s="13">
        <v>-12</v>
      </c>
      <c r="G9" s="13">
        <v>52.7</v>
      </c>
      <c r="H9" s="13">
        <v>16</v>
      </c>
      <c r="I9" s="13">
        <v>80.3</v>
      </c>
      <c r="J9" s="13">
        <v>57.2</v>
      </c>
      <c r="K9" s="13">
        <v>73.5</v>
      </c>
      <c r="L9" s="13">
        <v>71.900000000000006</v>
      </c>
      <c r="M9" s="13">
        <v>34.700000000000003</v>
      </c>
      <c r="N9" s="13">
        <v>30.2</v>
      </c>
      <c r="O9" s="13">
        <v>77.8</v>
      </c>
      <c r="P9" s="13">
        <v>75.5</v>
      </c>
      <c r="Q9" s="13">
        <v>96.4</v>
      </c>
      <c r="R9" s="13">
        <v>99.5</v>
      </c>
      <c r="S9" s="13">
        <v>-224.1</v>
      </c>
      <c r="T9" s="16">
        <v>19.7</v>
      </c>
    </row>
    <row r="10" spans="1:20" x14ac:dyDescent="0.3">
      <c r="A10" s="10" t="s">
        <v>438</v>
      </c>
      <c r="B10" s="10" t="s">
        <v>439</v>
      </c>
      <c r="C10" s="13" t="s">
        <v>65</v>
      </c>
      <c r="D10" s="13">
        <v>28</v>
      </c>
      <c r="E10" s="13">
        <v>31.3</v>
      </c>
      <c r="F10" s="13">
        <v>41.2</v>
      </c>
      <c r="G10" s="13">
        <v>35.4</v>
      </c>
      <c r="H10" s="13">
        <v>29.2</v>
      </c>
      <c r="I10" s="13">
        <v>28.4</v>
      </c>
      <c r="J10" s="13">
        <v>37.6</v>
      </c>
      <c r="K10" s="13">
        <v>33</v>
      </c>
      <c r="L10" s="13">
        <v>30.1</v>
      </c>
      <c r="M10" s="13">
        <v>33.4</v>
      </c>
      <c r="N10" s="13">
        <v>34.1</v>
      </c>
      <c r="O10" s="13">
        <v>25.8</v>
      </c>
      <c r="P10" s="13">
        <v>33.4</v>
      </c>
      <c r="Q10" s="13">
        <v>51</v>
      </c>
      <c r="R10" s="13">
        <v>55.6</v>
      </c>
      <c r="S10" s="13">
        <v>57.4</v>
      </c>
      <c r="T10" s="16">
        <v>57.4</v>
      </c>
    </row>
    <row r="11" spans="1:20" x14ac:dyDescent="0.3">
      <c r="A11" s="10" t="s">
        <v>440</v>
      </c>
      <c r="B11" s="10" t="s">
        <v>441</v>
      </c>
      <c r="C11" s="13">
        <v>-13.4</v>
      </c>
      <c r="D11" s="13">
        <v>-28.2</v>
      </c>
      <c r="E11" s="13" t="s">
        <v>65</v>
      </c>
      <c r="F11" s="13" t="s">
        <v>65</v>
      </c>
      <c r="G11" s="13" t="s">
        <v>65</v>
      </c>
      <c r="H11" s="13" t="s">
        <v>65</v>
      </c>
      <c r="I11" s="13" t="s">
        <v>65</v>
      </c>
      <c r="J11" s="13" t="s">
        <v>65</v>
      </c>
      <c r="K11" s="13" t="s">
        <v>65</v>
      </c>
      <c r="L11" s="13" t="s">
        <v>65</v>
      </c>
      <c r="M11" s="13" t="s">
        <v>65</v>
      </c>
      <c r="N11" s="13" t="s">
        <v>65</v>
      </c>
      <c r="O11" s="13" t="s">
        <v>65</v>
      </c>
      <c r="P11" s="13" t="s">
        <v>65</v>
      </c>
      <c r="Q11" s="13" t="s">
        <v>65</v>
      </c>
      <c r="R11" s="13">
        <v>-3.6</v>
      </c>
      <c r="S11" s="13">
        <v>-31.9</v>
      </c>
      <c r="T11" s="16"/>
    </row>
    <row r="12" spans="1:20" x14ac:dyDescent="0.3">
      <c r="A12" s="10" t="s">
        <v>442</v>
      </c>
      <c r="B12" s="10" t="s">
        <v>443</v>
      </c>
      <c r="C12" s="13">
        <v>874.6</v>
      </c>
      <c r="D12" s="13">
        <v>9.3000000000000007</v>
      </c>
      <c r="E12" s="13">
        <v>21.5</v>
      </c>
      <c r="F12" s="13">
        <v>-53.2</v>
      </c>
      <c r="G12" s="13">
        <v>17.3</v>
      </c>
      <c r="H12" s="13">
        <v>-13.2</v>
      </c>
      <c r="I12" s="13">
        <v>51.9</v>
      </c>
      <c r="J12" s="13">
        <v>19.600000000000001</v>
      </c>
      <c r="K12" s="13">
        <v>40.5</v>
      </c>
      <c r="L12" s="13">
        <v>41.8</v>
      </c>
      <c r="M12" s="13">
        <v>1.3</v>
      </c>
      <c r="N12" s="13">
        <v>-3.9</v>
      </c>
      <c r="O12" s="13">
        <v>52</v>
      </c>
      <c r="P12" s="13">
        <v>42.1</v>
      </c>
      <c r="Q12" s="13">
        <v>45.4</v>
      </c>
      <c r="R12" s="13">
        <v>47.5</v>
      </c>
      <c r="S12" s="13">
        <v>-249.6</v>
      </c>
      <c r="T12" s="16">
        <v>-27.8</v>
      </c>
    </row>
    <row r="13" spans="1:20" x14ac:dyDescent="0.3">
      <c r="A13" s="10" t="s">
        <v>444</v>
      </c>
      <c r="B13" s="10" t="s">
        <v>445</v>
      </c>
      <c r="C13" s="13">
        <v>-41.7</v>
      </c>
      <c r="D13" s="13">
        <v>129</v>
      </c>
      <c r="E13" s="13">
        <v>-75.099999999999994</v>
      </c>
      <c r="F13" s="13">
        <v>-64</v>
      </c>
      <c r="G13" s="13">
        <v>60.3</v>
      </c>
      <c r="H13" s="13">
        <v>-56.3</v>
      </c>
      <c r="I13" s="13">
        <v>-15.7</v>
      </c>
      <c r="J13" s="13">
        <v>3.9</v>
      </c>
      <c r="K13" s="13">
        <v>-112.1</v>
      </c>
      <c r="L13" s="13">
        <v>-126.9</v>
      </c>
      <c r="M13" s="13">
        <v>-189.6</v>
      </c>
      <c r="N13" s="13">
        <v>109.1</v>
      </c>
      <c r="O13" s="13">
        <v>-23.5</v>
      </c>
      <c r="P13" s="13">
        <v>-78.900000000000006</v>
      </c>
      <c r="Q13" s="13">
        <v>-88.8</v>
      </c>
      <c r="R13" s="13">
        <v>-148.5</v>
      </c>
      <c r="S13" s="13">
        <v>118.1</v>
      </c>
      <c r="T13" s="16">
        <v>-98.4</v>
      </c>
    </row>
    <row r="14" spans="1:20" x14ac:dyDescent="0.3">
      <c r="A14" s="10" t="s">
        <v>446</v>
      </c>
      <c r="B14" s="10" t="s">
        <v>447</v>
      </c>
      <c r="C14" s="13">
        <v>-132.80000000000001</v>
      </c>
      <c r="D14" s="13">
        <v>244.9</v>
      </c>
      <c r="E14" s="13">
        <v>-111.8</v>
      </c>
      <c r="F14" s="13">
        <v>147</v>
      </c>
      <c r="G14" s="13">
        <v>116.7</v>
      </c>
      <c r="H14" s="13">
        <v>46.4</v>
      </c>
      <c r="I14" s="13">
        <v>-39.4</v>
      </c>
      <c r="J14" s="13">
        <v>12.5</v>
      </c>
      <c r="K14" s="13">
        <v>-104.6</v>
      </c>
      <c r="L14" s="13">
        <v>-6.3</v>
      </c>
      <c r="M14" s="13">
        <v>-155.4</v>
      </c>
      <c r="N14" s="13">
        <v>153.69999999999999</v>
      </c>
      <c r="O14" s="13">
        <v>-40.700000000000003</v>
      </c>
      <c r="P14" s="13">
        <v>-102.4</v>
      </c>
      <c r="Q14" s="13">
        <v>-133.30000000000001</v>
      </c>
      <c r="R14" s="13">
        <v>-402.2</v>
      </c>
      <c r="S14" s="13">
        <v>-270.7</v>
      </c>
      <c r="T14" s="16">
        <v>-270.69999771118199</v>
      </c>
    </row>
    <row r="15" spans="1:20" x14ac:dyDescent="0.3">
      <c r="A15" s="10" t="s">
        <v>448</v>
      </c>
      <c r="B15" s="10" t="s">
        <v>449</v>
      </c>
      <c r="C15" s="13">
        <v>4.5</v>
      </c>
      <c r="D15" s="13">
        <v>110.2</v>
      </c>
      <c r="E15" s="13">
        <v>-162.80000000000001</v>
      </c>
      <c r="F15" s="13">
        <v>2</v>
      </c>
      <c r="G15" s="13">
        <v>147.30000000000001</v>
      </c>
      <c r="H15" s="13">
        <v>-71.5</v>
      </c>
      <c r="I15" s="13">
        <v>98.2</v>
      </c>
      <c r="J15" s="13">
        <v>-75.599999999999994</v>
      </c>
      <c r="K15" s="13">
        <v>-89.5</v>
      </c>
      <c r="L15" s="13">
        <v>-139.6</v>
      </c>
      <c r="M15" s="13">
        <v>-224</v>
      </c>
      <c r="N15" s="13">
        <v>97.7</v>
      </c>
      <c r="O15" s="13">
        <v>-99.3</v>
      </c>
      <c r="P15" s="13">
        <v>-521.9</v>
      </c>
      <c r="Q15" s="13">
        <v>-717.3</v>
      </c>
      <c r="R15" s="13">
        <v>245.1</v>
      </c>
      <c r="S15" s="13">
        <v>343.7</v>
      </c>
      <c r="T15" s="16">
        <v>338.49999084472699</v>
      </c>
    </row>
    <row r="16" spans="1:20" x14ac:dyDescent="0.3">
      <c r="A16" s="10" t="s">
        <v>450</v>
      </c>
      <c r="B16" s="10" t="s">
        <v>451</v>
      </c>
      <c r="C16" s="13">
        <v>86.6</v>
      </c>
      <c r="D16" s="13">
        <v>-226.1</v>
      </c>
      <c r="E16" s="13">
        <v>199.5</v>
      </c>
      <c r="F16" s="13">
        <v>-213</v>
      </c>
      <c r="G16" s="13">
        <v>-203.7</v>
      </c>
      <c r="H16" s="13">
        <v>-31.2</v>
      </c>
      <c r="I16" s="13">
        <v>-74.5</v>
      </c>
      <c r="J16" s="13">
        <v>67</v>
      </c>
      <c r="K16" s="13">
        <v>82</v>
      </c>
      <c r="L16" s="13">
        <v>19</v>
      </c>
      <c r="M16" s="13">
        <v>189.8</v>
      </c>
      <c r="N16" s="13">
        <v>-142.30000000000001</v>
      </c>
      <c r="O16" s="13">
        <v>116.5</v>
      </c>
      <c r="P16" s="13">
        <v>545.4</v>
      </c>
      <c r="Q16" s="13">
        <v>761.8</v>
      </c>
      <c r="R16" s="13">
        <v>8.6</v>
      </c>
      <c r="S16" s="13">
        <v>45.1</v>
      </c>
      <c r="T16" s="16">
        <v>-166.2</v>
      </c>
    </row>
    <row r="17" spans="1:20" x14ac:dyDescent="0.3">
      <c r="A17" s="10" t="s">
        <v>452</v>
      </c>
      <c r="B17" s="10" t="s">
        <v>453</v>
      </c>
      <c r="C17" s="13" t="s">
        <v>65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6">
        <v>0</v>
      </c>
    </row>
    <row r="18" spans="1:20" x14ac:dyDescent="0.3">
      <c r="A18" s="6" t="s">
        <v>431</v>
      </c>
      <c r="B18" s="6" t="s">
        <v>454</v>
      </c>
      <c r="C18" s="19">
        <v>208.2</v>
      </c>
      <c r="D18" s="19">
        <v>293.5</v>
      </c>
      <c r="E18" s="19">
        <v>165.9</v>
      </c>
      <c r="F18" s="19">
        <v>196.3</v>
      </c>
      <c r="G18" s="19">
        <v>312.39999999999998</v>
      </c>
      <c r="H18" s="19">
        <v>149.4</v>
      </c>
      <c r="I18" s="19">
        <v>241.5</v>
      </c>
      <c r="J18" s="19">
        <v>196.3</v>
      </c>
      <c r="K18" s="19">
        <v>173.3</v>
      </c>
      <c r="L18" s="19">
        <v>127</v>
      </c>
      <c r="M18" s="19">
        <v>33.1</v>
      </c>
      <c r="N18" s="19">
        <v>345</v>
      </c>
      <c r="O18" s="19">
        <v>239.6</v>
      </c>
      <c r="P18" s="19">
        <v>226.8</v>
      </c>
      <c r="Q18" s="19">
        <v>297.89999999999998</v>
      </c>
      <c r="R18" s="19">
        <v>326.2</v>
      </c>
      <c r="S18" s="19">
        <v>473.9</v>
      </c>
      <c r="T18" s="22">
        <v>542.4</v>
      </c>
    </row>
    <row r="19" spans="1:20" x14ac:dyDescent="0.3">
      <c r="A19" s="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21"/>
    </row>
    <row r="20" spans="1:20" x14ac:dyDescent="0.3">
      <c r="A20" s="6" t="s">
        <v>455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21"/>
    </row>
    <row r="21" spans="1:20" x14ac:dyDescent="0.3">
      <c r="A21" s="10" t="s">
        <v>456</v>
      </c>
      <c r="B21" s="10" t="s">
        <v>457</v>
      </c>
      <c r="C21" s="13">
        <v>-81.099999999999994</v>
      </c>
      <c r="D21" s="13">
        <v>-67.3</v>
      </c>
      <c r="E21" s="13">
        <v>-44.9</v>
      </c>
      <c r="F21" s="13">
        <v>-45.2</v>
      </c>
      <c r="G21" s="13">
        <v>-97</v>
      </c>
      <c r="H21" s="13">
        <v>-48.6</v>
      </c>
      <c r="I21" s="13">
        <v>-59.9</v>
      </c>
      <c r="J21" s="13">
        <v>-60</v>
      </c>
      <c r="K21" s="13">
        <v>-63.1</v>
      </c>
      <c r="L21" s="13">
        <v>-101.8</v>
      </c>
      <c r="M21" s="13">
        <v>-78.5</v>
      </c>
      <c r="N21" s="13">
        <v>36</v>
      </c>
      <c r="O21" s="13">
        <v>-51</v>
      </c>
      <c r="P21" s="13">
        <v>-49.6</v>
      </c>
      <c r="Q21" s="13">
        <v>-108.9</v>
      </c>
      <c r="R21" s="13">
        <v>-122.4</v>
      </c>
      <c r="S21" s="13">
        <v>-168</v>
      </c>
      <c r="T21" s="16">
        <v>-168</v>
      </c>
    </row>
    <row r="22" spans="1:20" x14ac:dyDescent="0.3">
      <c r="A22" s="10" t="s">
        <v>458</v>
      </c>
      <c r="B22" s="10" t="s">
        <v>459</v>
      </c>
      <c r="C22" s="13">
        <v>7.7</v>
      </c>
      <c r="D22" s="13">
        <v>10</v>
      </c>
      <c r="E22" s="13">
        <v>15.9</v>
      </c>
      <c r="F22" s="13">
        <v>17.100000000000001</v>
      </c>
      <c r="G22" s="13">
        <v>8.9</v>
      </c>
      <c r="H22" s="13">
        <v>4.2</v>
      </c>
      <c r="I22" s="13">
        <v>1.4</v>
      </c>
      <c r="J22" s="13">
        <v>2.8</v>
      </c>
      <c r="K22" s="13">
        <v>1</v>
      </c>
      <c r="L22" s="13">
        <v>0.8</v>
      </c>
      <c r="M22" s="13">
        <v>3.7</v>
      </c>
      <c r="N22" s="13">
        <v>116.5</v>
      </c>
      <c r="O22" s="13">
        <v>1.8</v>
      </c>
      <c r="P22" s="13">
        <v>2.6</v>
      </c>
      <c r="Q22" s="13">
        <v>0.1</v>
      </c>
      <c r="R22" s="13">
        <v>2.7</v>
      </c>
      <c r="S22" s="13">
        <v>2.9</v>
      </c>
      <c r="T22" s="16">
        <v>2.9</v>
      </c>
    </row>
    <row r="23" spans="1:20" x14ac:dyDescent="0.3">
      <c r="A23" s="11" t="s">
        <v>460</v>
      </c>
      <c r="B23" s="11" t="s">
        <v>461</v>
      </c>
      <c r="C23" s="25" t="s">
        <v>65</v>
      </c>
      <c r="D23" s="25">
        <v>10</v>
      </c>
      <c r="E23" s="25">
        <v>15.9</v>
      </c>
      <c r="F23" s="25">
        <v>17.100000000000001</v>
      </c>
      <c r="G23" s="25">
        <v>8.9</v>
      </c>
      <c r="H23" s="25">
        <v>4.2</v>
      </c>
      <c r="I23" s="25">
        <v>1.4</v>
      </c>
      <c r="J23" s="25">
        <v>2.8</v>
      </c>
      <c r="K23" s="25">
        <v>1</v>
      </c>
      <c r="L23" s="25">
        <v>0.8</v>
      </c>
      <c r="M23" s="25">
        <v>3.7</v>
      </c>
      <c r="N23" s="25">
        <v>116.5</v>
      </c>
      <c r="O23" s="25">
        <v>1.8</v>
      </c>
      <c r="P23" s="25">
        <v>2.6</v>
      </c>
      <c r="Q23" s="25">
        <v>0.1</v>
      </c>
      <c r="R23" s="25">
        <v>2.7</v>
      </c>
      <c r="S23" s="25">
        <v>2.9</v>
      </c>
      <c r="T23" s="27">
        <v>2.9</v>
      </c>
    </row>
    <row r="24" spans="1:20" x14ac:dyDescent="0.3">
      <c r="A24" s="11" t="s">
        <v>462</v>
      </c>
      <c r="B24" s="11" t="s">
        <v>463</v>
      </c>
      <c r="C24" s="25" t="s">
        <v>65</v>
      </c>
      <c r="D24" s="25">
        <v>0</v>
      </c>
      <c r="E24" s="25">
        <v>0</v>
      </c>
      <c r="F24" s="25">
        <v>0</v>
      </c>
      <c r="G24" s="25">
        <v>0</v>
      </c>
      <c r="H24" s="25">
        <v>0</v>
      </c>
      <c r="I24" s="25">
        <v>0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7">
        <v>0</v>
      </c>
    </row>
    <row r="25" spans="1:20" x14ac:dyDescent="0.3">
      <c r="A25" s="10" t="s">
        <v>464</v>
      </c>
      <c r="B25" s="10" t="s">
        <v>465</v>
      </c>
      <c r="C25" s="13">
        <v>-88.8</v>
      </c>
      <c r="D25" s="13">
        <v>-77.3</v>
      </c>
      <c r="E25" s="13">
        <v>-60.8</v>
      </c>
      <c r="F25" s="13">
        <v>-62.3</v>
      </c>
      <c r="G25" s="13">
        <v>-105.9</v>
      </c>
      <c r="H25" s="13">
        <v>-52.8</v>
      </c>
      <c r="I25" s="13">
        <v>-61.3</v>
      </c>
      <c r="J25" s="13">
        <v>-62.8</v>
      </c>
      <c r="K25" s="13">
        <v>-64.099999999999994</v>
      </c>
      <c r="L25" s="13">
        <v>-102.6</v>
      </c>
      <c r="M25" s="13">
        <v>-82.2</v>
      </c>
      <c r="N25" s="13">
        <v>-80.5</v>
      </c>
      <c r="O25" s="13">
        <v>-52.8</v>
      </c>
      <c r="P25" s="13">
        <v>-52.2</v>
      </c>
      <c r="Q25" s="13">
        <v>-109</v>
      </c>
      <c r="R25" s="13">
        <v>-125.1</v>
      </c>
      <c r="S25" s="13">
        <v>-170.9</v>
      </c>
      <c r="T25" s="16">
        <v>-170.9</v>
      </c>
    </row>
    <row r="26" spans="1:20" x14ac:dyDescent="0.3">
      <c r="A26" s="11" t="s">
        <v>466</v>
      </c>
      <c r="B26" s="11" t="s">
        <v>467</v>
      </c>
      <c r="C26" s="25" t="s">
        <v>65</v>
      </c>
      <c r="D26" s="25">
        <v>-77.3</v>
      </c>
      <c r="E26" s="25">
        <v>-60.8</v>
      </c>
      <c r="F26" s="25">
        <v>-62.3</v>
      </c>
      <c r="G26" s="25">
        <v>-105.9</v>
      </c>
      <c r="H26" s="25">
        <v>-52.8</v>
      </c>
      <c r="I26" s="25">
        <v>-61.3</v>
      </c>
      <c r="J26" s="25">
        <v>-62.8</v>
      </c>
      <c r="K26" s="25">
        <v>-64.099999999999994</v>
      </c>
      <c r="L26" s="25">
        <v>-102.6</v>
      </c>
      <c r="M26" s="25">
        <v>-82.2</v>
      </c>
      <c r="N26" s="25">
        <v>-80.5</v>
      </c>
      <c r="O26" s="25">
        <v>-52.8</v>
      </c>
      <c r="P26" s="25">
        <v>-52.2</v>
      </c>
      <c r="Q26" s="25">
        <v>-109</v>
      </c>
      <c r="R26" s="25">
        <v>-125.1</v>
      </c>
      <c r="S26" s="25">
        <v>-170.9</v>
      </c>
      <c r="T26" s="27">
        <v>-170.9</v>
      </c>
    </row>
    <row r="27" spans="1:20" x14ac:dyDescent="0.3">
      <c r="A27" s="11" t="s">
        <v>468</v>
      </c>
      <c r="B27" s="11" t="s">
        <v>469</v>
      </c>
      <c r="C27" s="25" t="s">
        <v>65</v>
      </c>
      <c r="D27" s="25">
        <v>0</v>
      </c>
      <c r="E27" s="25">
        <v>0</v>
      </c>
      <c r="F27" s="25">
        <v>0</v>
      </c>
      <c r="G27" s="25">
        <v>0</v>
      </c>
      <c r="H27" s="25">
        <v>0</v>
      </c>
      <c r="I27" s="25">
        <v>0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7">
        <v>0</v>
      </c>
    </row>
    <row r="28" spans="1:20" x14ac:dyDescent="0.3">
      <c r="A28" s="10" t="s">
        <v>470</v>
      </c>
      <c r="B28" s="10" t="s">
        <v>471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6">
        <v>0</v>
      </c>
    </row>
    <row r="29" spans="1:20" x14ac:dyDescent="0.3">
      <c r="A29" s="10" t="s">
        <v>472</v>
      </c>
      <c r="B29" s="10" t="s">
        <v>473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6">
        <v>0</v>
      </c>
    </row>
    <row r="30" spans="1:20" x14ac:dyDescent="0.3">
      <c r="A30" s="10" t="s">
        <v>474</v>
      </c>
      <c r="B30" s="10" t="s">
        <v>475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6">
        <v>0</v>
      </c>
    </row>
    <row r="31" spans="1:20" x14ac:dyDescent="0.3">
      <c r="A31" s="10" t="s">
        <v>476</v>
      </c>
      <c r="B31" s="10" t="s">
        <v>477</v>
      </c>
      <c r="C31" s="13" t="s">
        <v>65</v>
      </c>
      <c r="D31" s="13">
        <v>0</v>
      </c>
      <c r="E31" s="13">
        <v>-16.2</v>
      </c>
      <c r="F31" s="13">
        <v>-80.5</v>
      </c>
      <c r="G31" s="13">
        <v>-71</v>
      </c>
      <c r="H31" s="13">
        <v>0</v>
      </c>
      <c r="I31" s="13">
        <v>0</v>
      </c>
      <c r="J31" s="13">
        <v>0</v>
      </c>
      <c r="K31" s="13">
        <v>-14.9</v>
      </c>
      <c r="L31" s="13">
        <v>0</v>
      </c>
      <c r="M31" s="13">
        <v>-467.1</v>
      </c>
      <c r="N31" s="13">
        <v>2.7</v>
      </c>
      <c r="O31" s="13">
        <v>0</v>
      </c>
      <c r="P31" s="13">
        <v>-314.7</v>
      </c>
      <c r="Q31" s="13">
        <v>0</v>
      </c>
      <c r="R31" s="13">
        <v>0</v>
      </c>
      <c r="S31" s="13">
        <v>-36.1</v>
      </c>
      <c r="T31" s="16">
        <v>-36.1</v>
      </c>
    </row>
    <row r="32" spans="1:20" x14ac:dyDescent="0.3">
      <c r="A32" s="10" t="s">
        <v>478</v>
      </c>
      <c r="B32" s="10" t="s">
        <v>479</v>
      </c>
      <c r="C32" s="13" t="s">
        <v>65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6">
        <v>0</v>
      </c>
    </row>
    <row r="33" spans="1:20" x14ac:dyDescent="0.3">
      <c r="A33" s="10" t="s">
        <v>480</v>
      </c>
      <c r="B33" s="10" t="s">
        <v>481</v>
      </c>
      <c r="C33" s="13" t="s">
        <v>65</v>
      </c>
      <c r="D33" s="13">
        <v>0</v>
      </c>
      <c r="E33" s="13">
        <v>-16.2</v>
      </c>
      <c r="F33" s="13">
        <v>-80.5</v>
      </c>
      <c r="G33" s="13">
        <v>-71</v>
      </c>
      <c r="H33" s="13">
        <v>0</v>
      </c>
      <c r="I33" s="13">
        <v>0</v>
      </c>
      <c r="J33" s="13">
        <v>0</v>
      </c>
      <c r="K33" s="13">
        <v>-14.9</v>
      </c>
      <c r="L33" s="13">
        <v>0</v>
      </c>
      <c r="M33" s="13">
        <v>-467.1</v>
      </c>
      <c r="N33" s="13">
        <v>2.7</v>
      </c>
      <c r="O33" s="13">
        <v>0</v>
      </c>
      <c r="P33" s="13">
        <v>-314.7</v>
      </c>
      <c r="Q33" s="13">
        <v>0</v>
      </c>
      <c r="R33" s="13">
        <v>0</v>
      </c>
      <c r="S33" s="13">
        <v>-36.1</v>
      </c>
      <c r="T33" s="16">
        <v>-36.1</v>
      </c>
    </row>
    <row r="34" spans="1:20" x14ac:dyDescent="0.3">
      <c r="A34" s="10" t="s">
        <v>482</v>
      </c>
      <c r="B34" s="10" t="s">
        <v>483</v>
      </c>
      <c r="C34" s="13" t="s">
        <v>65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6">
        <v>0</v>
      </c>
    </row>
    <row r="35" spans="1:20" x14ac:dyDescent="0.3">
      <c r="A35" s="10" t="s">
        <v>484</v>
      </c>
      <c r="B35" s="10" t="s">
        <v>485</v>
      </c>
      <c r="C35" s="13">
        <v>0.3</v>
      </c>
      <c r="D35" s="13">
        <v>1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-15.3</v>
      </c>
      <c r="K35" s="13">
        <v>14</v>
      </c>
      <c r="L35" s="13">
        <v>12.5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-8.4</v>
      </c>
      <c r="T35" s="16">
        <v>-8.4</v>
      </c>
    </row>
    <row r="36" spans="1:20" x14ac:dyDescent="0.3">
      <c r="A36" s="10" t="s">
        <v>452</v>
      </c>
      <c r="B36" s="10" t="s">
        <v>486</v>
      </c>
      <c r="C36" s="13" t="s">
        <v>65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6">
        <v>0</v>
      </c>
    </row>
    <row r="37" spans="1:20" x14ac:dyDescent="0.3">
      <c r="A37" s="6" t="s">
        <v>455</v>
      </c>
      <c r="B37" s="6" t="s">
        <v>487</v>
      </c>
      <c r="C37" s="19">
        <v>-80.8</v>
      </c>
      <c r="D37" s="19">
        <v>-66.3</v>
      </c>
      <c r="E37" s="19">
        <v>-61.1</v>
      </c>
      <c r="F37" s="19">
        <v>-125.7</v>
      </c>
      <c r="G37" s="19">
        <v>-168</v>
      </c>
      <c r="H37" s="19">
        <v>-48.6</v>
      </c>
      <c r="I37" s="19">
        <v>-59.9</v>
      </c>
      <c r="J37" s="19">
        <v>-75.3</v>
      </c>
      <c r="K37" s="19">
        <v>-64</v>
      </c>
      <c r="L37" s="19">
        <v>-89.3</v>
      </c>
      <c r="M37" s="19">
        <v>-545.6</v>
      </c>
      <c r="N37" s="19">
        <v>38.700000000000003</v>
      </c>
      <c r="O37" s="19">
        <v>-51</v>
      </c>
      <c r="P37" s="19">
        <v>-364.3</v>
      </c>
      <c r="Q37" s="19">
        <v>-108.9</v>
      </c>
      <c r="R37" s="19">
        <v>-122.4</v>
      </c>
      <c r="S37" s="19">
        <v>-212.5</v>
      </c>
      <c r="T37" s="22">
        <v>-212.5</v>
      </c>
    </row>
    <row r="38" spans="1:20" x14ac:dyDescent="0.3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21"/>
    </row>
    <row r="39" spans="1:20" x14ac:dyDescent="0.3">
      <c r="A39" s="6" t="s">
        <v>488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21"/>
    </row>
    <row r="40" spans="1:20" x14ac:dyDescent="0.3">
      <c r="A40" s="10" t="s">
        <v>489</v>
      </c>
      <c r="B40" s="10" t="s">
        <v>490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6">
        <v>0</v>
      </c>
    </row>
    <row r="41" spans="1:20" x14ac:dyDescent="0.3">
      <c r="A41" s="10" t="s">
        <v>491</v>
      </c>
      <c r="B41" s="10" t="s">
        <v>492</v>
      </c>
      <c r="C41" s="13">
        <v>-30.8</v>
      </c>
      <c r="D41" s="13">
        <v>-496.8</v>
      </c>
      <c r="E41" s="13">
        <v>-231.6</v>
      </c>
      <c r="F41" s="13">
        <v>0</v>
      </c>
      <c r="G41" s="13">
        <v>55</v>
      </c>
      <c r="H41" s="13">
        <v>-55</v>
      </c>
      <c r="I41" s="13">
        <v>0</v>
      </c>
      <c r="J41" s="13">
        <v>262.5</v>
      </c>
      <c r="K41" s="13">
        <v>-35</v>
      </c>
      <c r="L41" s="13">
        <v>-46.5</v>
      </c>
      <c r="M41" s="13">
        <v>552.79999999999995</v>
      </c>
      <c r="N41" s="13">
        <v>-203.2</v>
      </c>
      <c r="O41" s="13">
        <v>-155.6</v>
      </c>
      <c r="P41" s="13">
        <v>150</v>
      </c>
      <c r="Q41" s="13">
        <v>-79.2</v>
      </c>
      <c r="R41" s="13">
        <v>-28.2</v>
      </c>
      <c r="S41" s="13">
        <v>122.6</v>
      </c>
      <c r="T41" s="16">
        <v>92.1</v>
      </c>
    </row>
    <row r="42" spans="1:20" x14ac:dyDescent="0.3">
      <c r="A42" s="10" t="s">
        <v>493</v>
      </c>
      <c r="B42" s="10" t="s">
        <v>494</v>
      </c>
      <c r="C42" s="13" t="s">
        <v>65</v>
      </c>
      <c r="D42" s="13">
        <v>0</v>
      </c>
      <c r="E42" s="13">
        <v>0</v>
      </c>
      <c r="F42" s="13">
        <v>0</v>
      </c>
      <c r="G42" s="13">
        <v>55</v>
      </c>
      <c r="H42" s="13">
        <v>-55</v>
      </c>
      <c r="I42" s="13">
        <v>0</v>
      </c>
      <c r="J42" s="13">
        <v>262.5</v>
      </c>
      <c r="K42" s="13">
        <v>-35</v>
      </c>
      <c r="L42" s="13">
        <v>-40</v>
      </c>
      <c r="M42" s="13">
        <v>569.79999999999995</v>
      </c>
      <c r="N42" s="13">
        <v>-165</v>
      </c>
      <c r="O42" s="13">
        <v>-121.9</v>
      </c>
      <c r="P42" s="13">
        <v>190</v>
      </c>
      <c r="Q42" s="13">
        <v>-33.200000000000003</v>
      </c>
      <c r="R42" s="13">
        <v>-909.3</v>
      </c>
      <c r="S42" s="13">
        <v>-665.7</v>
      </c>
      <c r="T42" s="16">
        <v>-152.69999999999999</v>
      </c>
    </row>
    <row r="43" spans="1:20" x14ac:dyDescent="0.3">
      <c r="A43" s="10" t="s">
        <v>495</v>
      </c>
      <c r="B43" s="10" t="s">
        <v>496</v>
      </c>
      <c r="C43" s="13" t="s">
        <v>65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891</v>
      </c>
      <c r="S43" s="13">
        <v>798</v>
      </c>
      <c r="T43" s="16">
        <v>513</v>
      </c>
    </row>
    <row r="44" spans="1:20" x14ac:dyDescent="0.3">
      <c r="A44" s="10" t="s">
        <v>497</v>
      </c>
      <c r="B44" s="10" t="s">
        <v>498</v>
      </c>
      <c r="C44" s="13" t="s">
        <v>65</v>
      </c>
      <c r="D44" s="13">
        <v>-496.8</v>
      </c>
      <c r="E44" s="13">
        <v>-231.6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-6.5</v>
      </c>
      <c r="M44" s="13">
        <v>-17</v>
      </c>
      <c r="N44" s="13">
        <v>-38.200000000000003</v>
      </c>
      <c r="O44" s="13">
        <v>-33.700000000000003</v>
      </c>
      <c r="P44" s="13">
        <v>-40</v>
      </c>
      <c r="Q44" s="13">
        <v>-46</v>
      </c>
      <c r="R44" s="13">
        <v>-9.9</v>
      </c>
      <c r="S44" s="13">
        <v>-9.6999999999999993</v>
      </c>
      <c r="T44" s="16">
        <v>-268.2</v>
      </c>
    </row>
    <row r="45" spans="1:20" x14ac:dyDescent="0.3">
      <c r="A45" s="10" t="s">
        <v>499</v>
      </c>
      <c r="B45" s="10" t="s">
        <v>500</v>
      </c>
      <c r="C45" s="13">
        <v>2.1</v>
      </c>
      <c r="D45" s="13">
        <v>2.7</v>
      </c>
      <c r="E45" s="13">
        <v>-162.19999999999999</v>
      </c>
      <c r="F45" s="13">
        <v>-37.5</v>
      </c>
      <c r="G45" s="13">
        <v>-303.8</v>
      </c>
      <c r="H45" s="13">
        <v>-49.3</v>
      </c>
      <c r="I45" s="13">
        <v>-156.69999999999999</v>
      </c>
      <c r="J45" s="13">
        <v>-395.4</v>
      </c>
      <c r="K45" s="13">
        <v>-48.4</v>
      </c>
      <c r="L45" s="13">
        <v>-23</v>
      </c>
      <c r="M45" s="13">
        <v>-97.5</v>
      </c>
      <c r="N45" s="13">
        <v>-76.5</v>
      </c>
      <c r="O45" s="13">
        <v>-19.2</v>
      </c>
      <c r="P45" s="13">
        <v>-56.3</v>
      </c>
      <c r="Q45" s="13">
        <v>-79.3</v>
      </c>
      <c r="R45" s="13">
        <v>-117.6</v>
      </c>
      <c r="S45" s="13">
        <v>-267.7</v>
      </c>
      <c r="T45" s="16">
        <v>-267.7</v>
      </c>
    </row>
    <row r="46" spans="1:20" x14ac:dyDescent="0.3">
      <c r="A46" s="10" t="s">
        <v>501</v>
      </c>
      <c r="B46" s="10" t="s">
        <v>502</v>
      </c>
      <c r="C46" s="13">
        <v>2.1</v>
      </c>
      <c r="D46" s="13">
        <v>2.7</v>
      </c>
      <c r="E46" s="13">
        <v>4.5999999999999996</v>
      </c>
      <c r="F46" s="13">
        <v>11.9</v>
      </c>
      <c r="G46" s="13">
        <v>7.5</v>
      </c>
      <c r="H46" s="13">
        <v>7.1</v>
      </c>
      <c r="I46" s="13">
        <v>7.8</v>
      </c>
      <c r="J46" s="13">
        <v>3.9</v>
      </c>
      <c r="K46" s="13">
        <v>4.0999999999999996</v>
      </c>
      <c r="L46" s="13">
        <v>13.6</v>
      </c>
      <c r="M46" s="13">
        <v>0.4</v>
      </c>
      <c r="N46" s="13">
        <v>0</v>
      </c>
      <c r="O46" s="13">
        <v>0</v>
      </c>
      <c r="P46" s="13">
        <v>0.2</v>
      </c>
      <c r="Q46" s="13">
        <v>0.2</v>
      </c>
      <c r="R46" s="13">
        <v>0.3</v>
      </c>
      <c r="S46" s="13">
        <v>3.9</v>
      </c>
      <c r="T46" s="16">
        <v>3.9000000953674299</v>
      </c>
    </row>
    <row r="47" spans="1:20" x14ac:dyDescent="0.3">
      <c r="A47" s="10" t="s">
        <v>503</v>
      </c>
      <c r="B47" s="10" t="s">
        <v>504</v>
      </c>
      <c r="C47" s="13">
        <v>0</v>
      </c>
      <c r="D47" s="13">
        <v>0</v>
      </c>
      <c r="E47" s="13">
        <v>-166.8</v>
      </c>
      <c r="F47" s="13">
        <v>-49.4</v>
      </c>
      <c r="G47" s="13">
        <v>-311.3</v>
      </c>
      <c r="H47" s="13">
        <v>-56.4</v>
      </c>
      <c r="I47" s="13">
        <v>-164.5</v>
      </c>
      <c r="J47" s="13">
        <v>-399.3</v>
      </c>
      <c r="K47" s="13">
        <v>-52.5</v>
      </c>
      <c r="L47" s="13">
        <v>-36.6</v>
      </c>
      <c r="M47" s="13">
        <v>-97.9</v>
      </c>
      <c r="N47" s="13">
        <v>-76.5</v>
      </c>
      <c r="O47" s="13">
        <v>-19.2</v>
      </c>
      <c r="P47" s="13">
        <v>-56.5</v>
      </c>
      <c r="Q47" s="13">
        <v>-79.5</v>
      </c>
      <c r="R47" s="13">
        <v>-117.9</v>
      </c>
      <c r="S47" s="13">
        <v>-271.60000000000002</v>
      </c>
      <c r="T47" s="16">
        <v>-271.59999847412098</v>
      </c>
    </row>
    <row r="48" spans="1:20" x14ac:dyDescent="0.3">
      <c r="A48" s="10" t="s">
        <v>505</v>
      </c>
      <c r="B48" s="10" t="s">
        <v>506</v>
      </c>
      <c r="C48" s="13">
        <v>-14.4</v>
      </c>
      <c r="D48" s="13">
        <v>3.6</v>
      </c>
      <c r="E48" s="13">
        <v>-15.9</v>
      </c>
      <c r="F48" s="13">
        <v>-7</v>
      </c>
      <c r="G48" s="13">
        <v>-4</v>
      </c>
      <c r="H48" s="13">
        <v>-2.7</v>
      </c>
      <c r="I48" s="13">
        <v>-4.2</v>
      </c>
      <c r="J48" s="13">
        <v>-7.8</v>
      </c>
      <c r="K48" s="13">
        <v>-14</v>
      </c>
      <c r="L48" s="13">
        <v>-10.199999999999999</v>
      </c>
      <c r="M48" s="13">
        <v>-36</v>
      </c>
      <c r="N48" s="13">
        <v>-46.5</v>
      </c>
      <c r="O48" s="13">
        <v>-29.5</v>
      </c>
      <c r="P48" s="13">
        <v>-26</v>
      </c>
      <c r="Q48" s="13">
        <v>-50</v>
      </c>
      <c r="R48" s="13">
        <v>-62.1</v>
      </c>
      <c r="S48" s="13">
        <v>-63.4</v>
      </c>
      <c r="T48" s="16">
        <v>-101.4</v>
      </c>
    </row>
    <row r="49" spans="1:20" x14ac:dyDescent="0.3">
      <c r="A49" s="10" t="s">
        <v>452</v>
      </c>
      <c r="B49" s="10" t="s">
        <v>507</v>
      </c>
      <c r="C49" s="13" t="s">
        <v>65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6">
        <v>0</v>
      </c>
    </row>
    <row r="50" spans="1:20" x14ac:dyDescent="0.3">
      <c r="A50" s="6" t="s">
        <v>488</v>
      </c>
      <c r="B50" s="6" t="s">
        <v>508</v>
      </c>
      <c r="C50" s="19">
        <v>-43.1</v>
      </c>
      <c r="D50" s="19">
        <v>-490.5</v>
      </c>
      <c r="E50" s="19">
        <v>-409.7</v>
      </c>
      <c r="F50" s="19">
        <v>-44.5</v>
      </c>
      <c r="G50" s="19">
        <v>-252.8</v>
      </c>
      <c r="H50" s="19">
        <v>-107</v>
      </c>
      <c r="I50" s="19">
        <v>-160.9</v>
      </c>
      <c r="J50" s="19">
        <v>-140.69999999999999</v>
      </c>
      <c r="K50" s="19">
        <v>-97.4</v>
      </c>
      <c r="L50" s="19">
        <v>-79.7</v>
      </c>
      <c r="M50" s="19">
        <v>419.3</v>
      </c>
      <c r="N50" s="19">
        <v>-326.2</v>
      </c>
      <c r="O50" s="19">
        <v>-204.3</v>
      </c>
      <c r="P50" s="19">
        <v>67.7</v>
      </c>
      <c r="Q50" s="19">
        <v>-208.5</v>
      </c>
      <c r="R50" s="19">
        <v>-207.9</v>
      </c>
      <c r="S50" s="19">
        <v>-208.5</v>
      </c>
      <c r="T50" s="22">
        <v>-277</v>
      </c>
    </row>
    <row r="51" spans="1:20" x14ac:dyDescent="0.3">
      <c r="A51" s="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21"/>
    </row>
    <row r="52" spans="1:20" x14ac:dyDescent="0.3">
      <c r="A52" s="10" t="s">
        <v>509</v>
      </c>
      <c r="B52" s="10" t="s">
        <v>510</v>
      </c>
      <c r="C52" s="13" t="s">
        <v>65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6">
        <v>0</v>
      </c>
    </row>
    <row r="53" spans="1:20" x14ac:dyDescent="0.3">
      <c r="A53" s="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21"/>
    </row>
    <row r="54" spans="1:20" x14ac:dyDescent="0.3">
      <c r="A54" s="6" t="s">
        <v>511</v>
      </c>
      <c r="B54" s="6" t="s">
        <v>512</v>
      </c>
      <c r="C54" s="19">
        <v>84.3</v>
      </c>
      <c r="D54" s="19">
        <v>-263.3</v>
      </c>
      <c r="E54" s="19">
        <v>-304.89999999999998</v>
      </c>
      <c r="F54" s="19">
        <v>26.1</v>
      </c>
      <c r="G54" s="19">
        <v>-108.4</v>
      </c>
      <c r="H54" s="19">
        <v>-6.2</v>
      </c>
      <c r="I54" s="19">
        <v>20.7</v>
      </c>
      <c r="J54" s="19">
        <v>-19.7</v>
      </c>
      <c r="K54" s="19">
        <v>11.9</v>
      </c>
      <c r="L54" s="19">
        <v>-42</v>
      </c>
      <c r="M54" s="19">
        <v>-93.2</v>
      </c>
      <c r="N54" s="19">
        <v>57.5</v>
      </c>
      <c r="O54" s="19">
        <v>-15.7</v>
      </c>
      <c r="P54" s="19">
        <v>-69.8</v>
      </c>
      <c r="Q54" s="19">
        <v>-19.5</v>
      </c>
      <c r="R54" s="19">
        <v>-4.0999999999999996</v>
      </c>
      <c r="S54" s="19">
        <v>52.9</v>
      </c>
      <c r="T54" s="22">
        <v>52.900002288818399</v>
      </c>
    </row>
    <row r="55" spans="1:20" x14ac:dyDescent="0.3">
      <c r="A55" s="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21"/>
    </row>
    <row r="56" spans="1:20" x14ac:dyDescent="0.3">
      <c r="A56" s="6" t="s">
        <v>513</v>
      </c>
      <c r="B56" s="6" t="s">
        <v>514</v>
      </c>
      <c r="C56" s="19">
        <v>17</v>
      </c>
      <c r="D56" s="19">
        <v>16.600000000000001</v>
      </c>
      <c r="E56" s="19" t="s">
        <v>65</v>
      </c>
      <c r="F56" s="19">
        <v>18.899999999999999</v>
      </c>
      <c r="G56" s="19" t="s">
        <v>65</v>
      </c>
      <c r="H56" s="19" t="s">
        <v>65</v>
      </c>
      <c r="I56" s="19" t="s">
        <v>65</v>
      </c>
      <c r="J56" s="19">
        <v>-27.7</v>
      </c>
      <c r="K56" s="19">
        <v>11.9</v>
      </c>
      <c r="L56" s="19">
        <v>-30.8</v>
      </c>
      <c r="M56" s="19">
        <v>-44.8</v>
      </c>
      <c r="N56" s="19">
        <v>-21</v>
      </c>
      <c r="O56" s="19">
        <v>-27.8</v>
      </c>
      <c r="P56" s="19">
        <v>-39.4</v>
      </c>
      <c r="Q56" s="19">
        <v>65.099999999999994</v>
      </c>
      <c r="R56" s="19">
        <v>78.400000000000006</v>
      </c>
      <c r="S56" s="19">
        <v>106.3</v>
      </c>
      <c r="T56" s="22">
        <v>-37.499999618530303</v>
      </c>
    </row>
    <row r="57" spans="1:20" x14ac:dyDescent="0.3">
      <c r="A57" s="6" t="s">
        <v>515</v>
      </c>
      <c r="B57" s="6" t="s">
        <v>516</v>
      </c>
      <c r="C57" s="19">
        <v>65.400000000000006</v>
      </c>
      <c r="D57" s="19">
        <v>64.8</v>
      </c>
      <c r="E57" s="19" t="s">
        <v>65</v>
      </c>
      <c r="F57" s="19" t="s">
        <v>65</v>
      </c>
      <c r="G57" s="19" t="s">
        <v>65</v>
      </c>
      <c r="H57" s="19" t="s">
        <v>65</v>
      </c>
      <c r="I57" s="19" t="s">
        <v>65</v>
      </c>
      <c r="J57" s="19" t="s">
        <v>65</v>
      </c>
      <c r="K57" s="19" t="s">
        <v>65</v>
      </c>
      <c r="L57" s="19" t="s">
        <v>65</v>
      </c>
      <c r="M57" s="19" t="s">
        <v>65</v>
      </c>
      <c r="N57" s="19" t="s">
        <v>65</v>
      </c>
      <c r="O57" s="19" t="s">
        <v>65</v>
      </c>
      <c r="P57" s="19" t="s">
        <v>65</v>
      </c>
      <c r="Q57" s="19" t="s">
        <v>65</v>
      </c>
      <c r="R57" s="19" t="s">
        <v>65</v>
      </c>
      <c r="S57" s="19" t="s">
        <v>65</v>
      </c>
      <c r="T57" s="22"/>
    </row>
    <row r="58" spans="1:20" x14ac:dyDescent="0.3">
      <c r="A58" s="6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21"/>
    </row>
    <row r="59" spans="1:20" x14ac:dyDescent="0.3">
      <c r="A59" s="6" t="s">
        <v>74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21"/>
    </row>
    <row r="60" spans="1:20" x14ac:dyDescent="0.3">
      <c r="A60" s="10" t="s">
        <v>82</v>
      </c>
      <c r="B60" s="10" t="s">
        <v>82</v>
      </c>
      <c r="C60" s="13">
        <v>321.39999999999998</v>
      </c>
      <c r="D60" s="13">
        <v>195.8</v>
      </c>
      <c r="E60" s="13">
        <v>213.3</v>
      </c>
      <c r="F60" s="13">
        <v>281.39999999999998</v>
      </c>
      <c r="G60" s="13">
        <v>197.1</v>
      </c>
      <c r="H60" s="13">
        <v>205.3</v>
      </c>
      <c r="I60" s="13">
        <v>196.4</v>
      </c>
      <c r="J60" s="13">
        <v>183.7</v>
      </c>
      <c r="K60" s="13">
        <v>232.3</v>
      </c>
      <c r="L60" s="13">
        <v>219.7</v>
      </c>
      <c r="M60" s="13">
        <v>195.4</v>
      </c>
      <c r="N60" s="13">
        <v>284.7</v>
      </c>
      <c r="O60" s="13">
        <v>252.6</v>
      </c>
      <c r="P60" s="13">
        <v>294</v>
      </c>
      <c r="Q60" s="13">
        <v>408.1</v>
      </c>
      <c r="R60" s="13">
        <v>469.1</v>
      </c>
      <c r="S60" s="13">
        <v>751.2</v>
      </c>
      <c r="T60" s="16">
        <v>783.3</v>
      </c>
    </row>
    <row r="61" spans="1:20" x14ac:dyDescent="0.3">
      <c r="A61" s="10" t="s">
        <v>517</v>
      </c>
      <c r="B61" s="10" t="s">
        <v>236</v>
      </c>
      <c r="C61" s="14">
        <v>4.1859000000000002</v>
      </c>
      <c r="D61" s="14">
        <v>3.2139000000000002</v>
      </c>
      <c r="E61" s="14">
        <v>3.2684000000000002</v>
      </c>
      <c r="F61" s="14">
        <v>3.9013</v>
      </c>
      <c r="G61" s="14">
        <v>3.0289999999999999</v>
      </c>
      <c r="H61" s="14">
        <v>3.5419999999999998</v>
      </c>
      <c r="I61" s="14">
        <v>3.4876</v>
      </c>
      <c r="J61" s="14">
        <v>3.2576000000000001</v>
      </c>
      <c r="K61" s="14">
        <v>3.8610000000000002</v>
      </c>
      <c r="L61" s="14">
        <v>3.5766</v>
      </c>
      <c r="M61" s="14">
        <v>2.9458000000000002</v>
      </c>
      <c r="N61" s="14">
        <v>4.835</v>
      </c>
      <c r="O61" s="14">
        <v>4.3944999999999999</v>
      </c>
      <c r="P61" s="14">
        <v>5.2176999999999998</v>
      </c>
      <c r="Q61" s="14">
        <v>5.6289999999999996</v>
      </c>
      <c r="R61" s="14">
        <v>5.8925000000000001</v>
      </c>
      <c r="S61" s="14">
        <v>7.7877000000000001</v>
      </c>
      <c r="T61" s="17">
        <v>8.1204644412191591</v>
      </c>
    </row>
    <row r="62" spans="1:20" x14ac:dyDescent="0.3">
      <c r="A62" s="10" t="s">
        <v>518</v>
      </c>
      <c r="B62" s="10" t="s">
        <v>519</v>
      </c>
      <c r="C62" s="13" t="s">
        <v>65</v>
      </c>
      <c r="D62" s="13" t="s">
        <v>65</v>
      </c>
      <c r="E62" s="13">
        <v>0</v>
      </c>
      <c r="F62" s="13">
        <v>0</v>
      </c>
      <c r="G62" s="13">
        <v>0</v>
      </c>
      <c r="H62" s="13">
        <v>0</v>
      </c>
      <c r="I62" s="13" t="s">
        <v>65</v>
      </c>
      <c r="J62" s="13" t="s">
        <v>65</v>
      </c>
      <c r="K62" s="13" t="s">
        <v>65</v>
      </c>
      <c r="L62" s="13" t="s">
        <v>65</v>
      </c>
      <c r="M62" s="13" t="s">
        <v>65</v>
      </c>
      <c r="N62" s="13" t="s">
        <v>65</v>
      </c>
      <c r="O62" s="13" t="s">
        <v>65</v>
      </c>
      <c r="P62" s="13" t="s">
        <v>65</v>
      </c>
      <c r="Q62" s="13" t="s">
        <v>65</v>
      </c>
      <c r="R62" s="13" t="s">
        <v>65</v>
      </c>
      <c r="S62" s="13" t="s">
        <v>65</v>
      </c>
      <c r="T62" s="16"/>
    </row>
    <row r="63" spans="1:20" x14ac:dyDescent="0.3">
      <c r="A63" s="10" t="s">
        <v>520</v>
      </c>
      <c r="B63" s="10" t="s">
        <v>521</v>
      </c>
      <c r="C63" s="13" t="s">
        <v>65</v>
      </c>
      <c r="D63" s="13" t="s">
        <v>65</v>
      </c>
      <c r="E63" s="13">
        <v>16.2</v>
      </c>
      <c r="F63" s="13">
        <v>80.5</v>
      </c>
      <c r="G63" s="13">
        <v>71</v>
      </c>
      <c r="H63" s="13">
        <v>0</v>
      </c>
      <c r="I63" s="13">
        <v>0</v>
      </c>
      <c r="J63" s="13">
        <v>0</v>
      </c>
      <c r="K63" s="13">
        <v>14.9</v>
      </c>
      <c r="L63" s="13">
        <v>0</v>
      </c>
      <c r="M63" s="13">
        <v>467.1</v>
      </c>
      <c r="N63" s="13">
        <v>-2.7</v>
      </c>
      <c r="O63" s="13">
        <v>0</v>
      </c>
      <c r="P63" s="13">
        <v>314.7</v>
      </c>
      <c r="Q63" s="13">
        <v>0</v>
      </c>
      <c r="R63" s="13">
        <v>0</v>
      </c>
      <c r="S63" s="13">
        <v>36.1</v>
      </c>
      <c r="T63" s="16">
        <v>36.099998474121101</v>
      </c>
    </row>
    <row r="64" spans="1:20" x14ac:dyDescent="0.3">
      <c r="A64" s="10" t="s">
        <v>522</v>
      </c>
      <c r="B64" s="10" t="s">
        <v>523</v>
      </c>
      <c r="C64" s="13">
        <v>119.4</v>
      </c>
      <c r="D64" s="13">
        <v>216.2</v>
      </c>
      <c r="E64" s="13">
        <v>105.1</v>
      </c>
      <c r="F64" s="13">
        <v>134</v>
      </c>
      <c r="G64" s="13">
        <v>206.5</v>
      </c>
      <c r="H64" s="13">
        <v>96.6</v>
      </c>
      <c r="I64" s="13">
        <v>180.2</v>
      </c>
      <c r="J64" s="13">
        <v>133.5</v>
      </c>
      <c r="K64" s="13">
        <v>109.2</v>
      </c>
      <c r="L64" s="13">
        <v>24.4</v>
      </c>
      <c r="M64" s="13">
        <v>-49.1</v>
      </c>
      <c r="N64" s="13">
        <v>264.5</v>
      </c>
      <c r="O64" s="13">
        <v>186.8</v>
      </c>
      <c r="P64" s="13">
        <v>174.6</v>
      </c>
      <c r="Q64" s="13">
        <v>188.9</v>
      </c>
      <c r="R64" s="13">
        <v>201.1</v>
      </c>
      <c r="S64" s="13">
        <v>303</v>
      </c>
      <c r="T64" s="16">
        <v>371.5</v>
      </c>
    </row>
    <row r="65" spans="1:20" x14ac:dyDescent="0.3">
      <c r="A65" s="10" t="s">
        <v>524</v>
      </c>
      <c r="B65" s="10" t="s">
        <v>525</v>
      </c>
      <c r="C65" s="13" t="s">
        <v>65</v>
      </c>
      <c r="D65" s="13">
        <v>248.34399999999999</v>
      </c>
      <c r="E65" s="13">
        <v>110.9482</v>
      </c>
      <c r="F65" s="13">
        <v>139.29949999999999</v>
      </c>
      <c r="G65" s="13" t="s">
        <v>65</v>
      </c>
      <c r="H65" s="13">
        <v>99.218199999999996</v>
      </c>
      <c r="I65" s="13" t="s">
        <v>65</v>
      </c>
      <c r="J65" s="13">
        <v>137.36320000000001</v>
      </c>
      <c r="K65" s="13">
        <v>117.6658</v>
      </c>
      <c r="L65" s="13">
        <v>32.4056</v>
      </c>
      <c r="M65" s="13" t="s">
        <v>65</v>
      </c>
      <c r="N65" s="13">
        <v>269.14909999999998</v>
      </c>
      <c r="O65" s="13">
        <v>190.8982</v>
      </c>
      <c r="P65" s="13">
        <v>179.6422</v>
      </c>
      <c r="Q65" s="13">
        <v>194.68860000000001</v>
      </c>
      <c r="R65" s="13">
        <v>208.76750000000001</v>
      </c>
      <c r="S65" s="13">
        <v>310.96170000000001</v>
      </c>
      <c r="T65" s="16">
        <v>423.13740184450802</v>
      </c>
    </row>
    <row r="66" spans="1:20" x14ac:dyDescent="0.3">
      <c r="A66" s="10" t="s">
        <v>526</v>
      </c>
      <c r="B66" s="10" t="s">
        <v>527</v>
      </c>
      <c r="C66" s="13">
        <v>96.3</v>
      </c>
      <c r="D66" s="13">
        <v>-270.60000000000002</v>
      </c>
      <c r="E66" s="13">
        <v>-110.6</v>
      </c>
      <c r="F66" s="13">
        <v>151.1</v>
      </c>
      <c r="G66" s="13">
        <v>270.39999999999998</v>
      </c>
      <c r="H66" s="13">
        <v>45.8</v>
      </c>
      <c r="I66" s="13">
        <v>181.6</v>
      </c>
      <c r="J66" s="13">
        <v>398.8</v>
      </c>
      <c r="K66" s="13">
        <v>75.2</v>
      </c>
      <c r="L66" s="13">
        <v>-21.3</v>
      </c>
      <c r="M66" s="13">
        <v>507.4</v>
      </c>
      <c r="N66" s="13">
        <v>177.8</v>
      </c>
      <c r="O66" s="13">
        <v>33</v>
      </c>
      <c r="P66" s="13">
        <v>327.2</v>
      </c>
      <c r="Q66" s="13">
        <v>109.8</v>
      </c>
      <c r="R66" s="13">
        <v>175.6</v>
      </c>
      <c r="S66" s="13">
        <v>428.5</v>
      </c>
      <c r="T66" s="16">
        <v>466.5</v>
      </c>
    </row>
    <row r="67" spans="1:20" x14ac:dyDescent="0.3">
      <c r="A67" s="10" t="s">
        <v>528</v>
      </c>
      <c r="B67" s="10" t="s">
        <v>529</v>
      </c>
      <c r="C67" s="14">
        <v>0.52070000000000005</v>
      </c>
      <c r="D67" s="14">
        <v>0.94199999999999995</v>
      </c>
      <c r="E67" s="14">
        <v>0.46139999999999998</v>
      </c>
      <c r="F67" s="14">
        <v>0.61950000000000005</v>
      </c>
      <c r="G67" s="14">
        <v>0.9899</v>
      </c>
      <c r="H67" s="14">
        <v>0.52669999999999995</v>
      </c>
      <c r="I67" s="14">
        <v>1.0101</v>
      </c>
      <c r="J67" s="14">
        <v>0.8569</v>
      </c>
      <c r="K67" s="14">
        <v>0.77010000000000001</v>
      </c>
      <c r="L67" s="14">
        <v>0.17050000000000001</v>
      </c>
      <c r="M67" s="14">
        <v>-0.35220000000000001</v>
      </c>
      <c r="N67" s="14">
        <v>2.0190999999999999</v>
      </c>
      <c r="O67" s="14">
        <v>1.4469000000000001</v>
      </c>
      <c r="P67" s="14">
        <v>1.3781000000000001</v>
      </c>
      <c r="Q67" s="14">
        <v>1.5296000000000001</v>
      </c>
      <c r="R67" s="14">
        <v>1.6744000000000001</v>
      </c>
      <c r="S67" s="14">
        <v>2.5655999999999999</v>
      </c>
      <c r="T67" s="17">
        <v>3.1473772322270399</v>
      </c>
    </row>
    <row r="68" spans="1:20" x14ac:dyDescent="0.3">
      <c r="A68" s="10" t="s">
        <v>530</v>
      </c>
      <c r="B68" s="10" t="s">
        <v>122</v>
      </c>
      <c r="C68" s="14">
        <v>8.9135000000000009</v>
      </c>
      <c r="D68" s="14">
        <v>10.011100000000001</v>
      </c>
      <c r="E68" s="14">
        <v>21.035900000000002</v>
      </c>
      <c r="F68" s="14">
        <v>11.892799999999999</v>
      </c>
      <c r="G68" s="14">
        <v>8.1938999999999993</v>
      </c>
      <c r="H68" s="14">
        <v>19.721499999999999</v>
      </c>
      <c r="I68" s="14">
        <v>11.6347</v>
      </c>
      <c r="J68" s="14">
        <v>12.912699999999999</v>
      </c>
      <c r="K68" s="14">
        <v>15.3604</v>
      </c>
      <c r="L68" s="14">
        <v>61.704700000000003</v>
      </c>
      <c r="M68" s="14" t="s">
        <v>65</v>
      </c>
      <c r="N68" s="14">
        <v>4.1101000000000001</v>
      </c>
      <c r="O68" s="14">
        <v>5.5590000000000002</v>
      </c>
      <c r="P68" s="14">
        <v>8.0890000000000004</v>
      </c>
      <c r="Q68" s="14">
        <v>7.3738000000000001</v>
      </c>
      <c r="R68" s="14">
        <v>17.549700000000001</v>
      </c>
      <c r="S68" s="14">
        <v>35.932400000000001</v>
      </c>
      <c r="T68" s="17">
        <v>20.916328962484499</v>
      </c>
    </row>
    <row r="69" spans="1:20" x14ac:dyDescent="0.3">
      <c r="A69" s="10" t="s">
        <v>531</v>
      </c>
      <c r="B69" s="10" t="s">
        <v>532</v>
      </c>
      <c r="C69" s="14" t="s">
        <v>65</v>
      </c>
      <c r="D69" s="14">
        <v>5.3364000000000003</v>
      </c>
      <c r="E69" s="14">
        <v>1.6393</v>
      </c>
      <c r="F69" s="14">
        <v>1.0062</v>
      </c>
      <c r="G69" s="14">
        <v>2.6541999999999999</v>
      </c>
      <c r="H69" s="14">
        <v>1.2661</v>
      </c>
      <c r="I69" s="14">
        <v>2.2320000000000002</v>
      </c>
      <c r="J69" s="14">
        <v>2.9342000000000001</v>
      </c>
      <c r="K69" s="14">
        <v>1.2715000000000001</v>
      </c>
      <c r="L69" s="14">
        <v>1.2038</v>
      </c>
      <c r="M69" s="14">
        <v>0.3347</v>
      </c>
      <c r="N69" s="14">
        <v>4.9074999999999998</v>
      </c>
      <c r="O69" s="14">
        <v>3.9538000000000002</v>
      </c>
      <c r="P69" s="14">
        <v>2.1829000000000001</v>
      </c>
      <c r="Q69" s="14">
        <v>2.0474000000000001</v>
      </c>
      <c r="R69" s="14">
        <v>1.3347</v>
      </c>
      <c r="S69" s="14">
        <v>1.1072</v>
      </c>
      <c r="T69" s="17">
        <v>0.94528675016479902</v>
      </c>
    </row>
    <row r="70" spans="1:20" x14ac:dyDescent="0.3">
      <c r="A70" s="7" t="s">
        <v>90</v>
      </c>
      <c r="B70" s="7"/>
      <c r="C70" s="7" t="s">
        <v>91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6"/>
  <sheetViews>
    <sheetView workbookViewId="0">
      <selection activeCell="H16" sqref="H16"/>
    </sheetView>
  </sheetViews>
  <sheetFormatPr defaultRowHeight="14.4" x14ac:dyDescent="0.3"/>
  <cols>
    <col min="1" max="1" width="35.109375" customWidth="1"/>
    <col min="2" max="2" width="0" hidden="1" customWidth="1"/>
    <col min="3" max="20" width="11.88671875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 x14ac:dyDescent="0.3">
      <c r="A2" s="8" t="s">
        <v>533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3" t="s">
        <v>1</v>
      </c>
      <c r="B4" s="3"/>
      <c r="C4" s="4" t="s">
        <v>257</v>
      </c>
      <c r="D4" s="4" t="s">
        <v>258</v>
      </c>
      <c r="E4" s="4" t="s">
        <v>259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4" t="s">
        <v>13</v>
      </c>
      <c r="R4" s="4" t="s">
        <v>14</v>
      </c>
      <c r="S4" s="4" t="s">
        <v>15</v>
      </c>
      <c r="T4" s="4" t="s">
        <v>16</v>
      </c>
    </row>
    <row r="5" spans="1:20" x14ac:dyDescent="0.3">
      <c r="A5" s="9" t="s">
        <v>20</v>
      </c>
      <c r="B5" s="9"/>
      <c r="C5" s="5" t="s">
        <v>260</v>
      </c>
      <c r="D5" s="5" t="s">
        <v>261</v>
      </c>
      <c r="E5" s="5" t="s">
        <v>262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  <c r="O5" s="5" t="s">
        <v>30</v>
      </c>
      <c r="P5" s="5" t="s">
        <v>31</v>
      </c>
      <c r="Q5" s="5" t="s">
        <v>32</v>
      </c>
      <c r="R5" s="5" t="s">
        <v>33</v>
      </c>
      <c r="S5" s="5" t="s">
        <v>34</v>
      </c>
      <c r="T5" s="5" t="s">
        <v>35</v>
      </c>
    </row>
    <row r="6" spans="1:20" x14ac:dyDescent="0.3">
      <c r="A6" s="6" t="s">
        <v>534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x14ac:dyDescent="0.3">
      <c r="A7" s="10" t="s">
        <v>535</v>
      </c>
      <c r="B7" s="10" t="s">
        <v>536</v>
      </c>
      <c r="C7" s="14">
        <v>-0.65039999999999998</v>
      </c>
      <c r="D7" s="14">
        <v>-41.364100000000001</v>
      </c>
      <c r="E7" s="14">
        <v>3.8715000000000002</v>
      </c>
      <c r="F7" s="14">
        <v>7.3368000000000002</v>
      </c>
      <c r="G7" s="14">
        <v>14.206099999999999</v>
      </c>
      <c r="H7" s="14">
        <v>8.4479000000000006</v>
      </c>
      <c r="I7" s="14">
        <v>8.6615000000000002</v>
      </c>
      <c r="J7" s="14">
        <v>7.7370999999999999</v>
      </c>
      <c r="K7" s="14">
        <v>5.3823999999999996</v>
      </c>
      <c r="L7" s="14">
        <v>11.7006</v>
      </c>
      <c r="M7" s="14">
        <v>8.0874000000000006</v>
      </c>
      <c r="N7" s="14">
        <v>7.3190999999999997</v>
      </c>
      <c r="O7" s="14">
        <v>5.2297000000000002</v>
      </c>
      <c r="P7" s="14">
        <v>4.383</v>
      </c>
      <c r="Q7" s="14">
        <v>7.2354000000000003</v>
      </c>
      <c r="R7" s="14">
        <v>9.2654999999999994</v>
      </c>
      <c r="S7" s="14">
        <v>14.173500000000001</v>
      </c>
      <c r="T7" s="14">
        <v>23.343299999999999</v>
      </c>
    </row>
    <row r="8" spans="1:20" x14ac:dyDescent="0.3">
      <c r="A8" s="10" t="s">
        <v>537</v>
      </c>
      <c r="B8" s="10" t="s">
        <v>538</v>
      </c>
      <c r="C8" s="14">
        <v>-0.29920000000000002</v>
      </c>
      <c r="D8" s="14">
        <v>-17.452500000000001</v>
      </c>
      <c r="E8" s="14">
        <v>1.5960000000000001</v>
      </c>
      <c r="F8" s="14">
        <v>3.3071999999999999</v>
      </c>
      <c r="G8" s="14">
        <v>6.5213000000000001</v>
      </c>
      <c r="H8" s="14">
        <v>4.1824000000000003</v>
      </c>
      <c r="I8" s="14">
        <v>4.4547999999999996</v>
      </c>
      <c r="J8" s="14">
        <v>4.1436000000000002</v>
      </c>
      <c r="K8" s="14">
        <v>2.5752999999999999</v>
      </c>
      <c r="L8" s="14">
        <v>5.0163000000000002</v>
      </c>
      <c r="M8" s="14">
        <v>3.6463999999999999</v>
      </c>
      <c r="N8" s="14">
        <v>2.9514</v>
      </c>
      <c r="O8" s="14">
        <v>1.9263999999999999</v>
      </c>
      <c r="P8" s="14">
        <v>1.6776</v>
      </c>
      <c r="Q8" s="14">
        <v>2.4943</v>
      </c>
      <c r="R8" s="14">
        <v>2.8266</v>
      </c>
      <c r="S8" s="14">
        <v>4.2435999999999998</v>
      </c>
      <c r="T8" s="14">
        <v>7.2061999999999999</v>
      </c>
    </row>
    <row r="9" spans="1:20" x14ac:dyDescent="0.3">
      <c r="A9" s="10" t="s">
        <v>539</v>
      </c>
      <c r="B9" s="10" t="s">
        <v>540</v>
      </c>
      <c r="C9" s="14">
        <v>-4.9570999999999996</v>
      </c>
      <c r="D9" s="14" t="s">
        <v>65</v>
      </c>
      <c r="E9" s="14">
        <v>4.5899000000000001</v>
      </c>
      <c r="F9" s="14">
        <v>7.1807999999999996</v>
      </c>
      <c r="G9" s="14">
        <v>14.592000000000001</v>
      </c>
      <c r="H9" s="14">
        <v>8.4666999999999994</v>
      </c>
      <c r="I9" s="14">
        <v>8.6784999999999997</v>
      </c>
      <c r="J9" s="14" t="s">
        <v>65</v>
      </c>
      <c r="K9" s="14">
        <v>5.1173999999999999</v>
      </c>
      <c r="L9" s="14">
        <v>10.1441</v>
      </c>
      <c r="M9" s="14">
        <v>7.4233000000000002</v>
      </c>
      <c r="N9" s="14">
        <v>6.3760000000000003</v>
      </c>
      <c r="O9" s="14">
        <v>3.6162999999999998</v>
      </c>
      <c r="P9" s="14">
        <v>3.1951000000000001</v>
      </c>
      <c r="Q9" s="14">
        <v>5.1238999999999999</v>
      </c>
      <c r="R9" s="14">
        <v>6.4089</v>
      </c>
      <c r="S9" s="14">
        <v>10.267300000000001</v>
      </c>
      <c r="T9" s="14">
        <v>16.966799999999999</v>
      </c>
    </row>
    <row r="10" spans="1:20" x14ac:dyDescent="0.3">
      <c r="A10" s="10" t="s">
        <v>541</v>
      </c>
      <c r="B10" s="10" t="s">
        <v>542</v>
      </c>
      <c r="C10" s="14">
        <v>-6.3807</v>
      </c>
      <c r="D10" s="14" t="s">
        <v>65</v>
      </c>
      <c r="E10" s="14">
        <v>5.4825999999999997</v>
      </c>
      <c r="F10" s="14">
        <v>7.6551999999999998</v>
      </c>
      <c r="G10" s="14">
        <v>15.0198</v>
      </c>
      <c r="H10" s="14">
        <v>9.0642999999999994</v>
      </c>
      <c r="I10" s="14">
        <v>9.3521999999999998</v>
      </c>
      <c r="J10" s="14">
        <v>9.0460999999999991</v>
      </c>
      <c r="K10" s="14">
        <v>5.8949999999999996</v>
      </c>
      <c r="L10" s="14">
        <v>9.8186999999999998</v>
      </c>
      <c r="M10" s="14">
        <v>8.0085999999999995</v>
      </c>
      <c r="N10" s="14">
        <v>6.8228</v>
      </c>
      <c r="O10" s="14">
        <v>5.5655000000000001</v>
      </c>
      <c r="P10" s="14">
        <v>4.7069999999999999</v>
      </c>
      <c r="Q10" s="14">
        <v>6.4702999999999999</v>
      </c>
      <c r="R10" s="14">
        <v>8.2891999999999992</v>
      </c>
      <c r="S10" s="14">
        <v>11.268700000000001</v>
      </c>
      <c r="T10" s="14">
        <v>18.916499999999999</v>
      </c>
    </row>
    <row r="11" spans="1:20" x14ac:dyDescent="0.3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 spans="1:20" x14ac:dyDescent="0.3">
      <c r="A12" s="6" t="s">
        <v>543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</row>
    <row r="13" spans="1:20" x14ac:dyDescent="0.3">
      <c r="A13" s="10" t="s">
        <v>238</v>
      </c>
      <c r="B13" s="10" t="s">
        <v>239</v>
      </c>
      <c r="C13" s="14">
        <v>5.2339000000000002</v>
      </c>
      <c r="D13" s="14">
        <v>6.9169999999999998</v>
      </c>
      <c r="E13" s="14">
        <v>7.0548999999999999</v>
      </c>
      <c r="F13" s="14">
        <v>6.8049999999999997</v>
      </c>
      <c r="G13" s="14">
        <v>6.8127000000000004</v>
      </c>
      <c r="H13" s="14">
        <v>6.7371999999999996</v>
      </c>
      <c r="I13" s="14">
        <v>6.72</v>
      </c>
      <c r="J13" s="14">
        <v>7.1989999999999998</v>
      </c>
      <c r="K13" s="14">
        <v>6.9353999999999996</v>
      </c>
      <c r="L13" s="14">
        <v>7.1071</v>
      </c>
      <c r="M13" s="14">
        <v>6.8129999999999997</v>
      </c>
      <c r="N13" s="14">
        <v>6.4901</v>
      </c>
      <c r="O13" s="14">
        <v>6.5332999999999997</v>
      </c>
      <c r="P13" s="14">
        <v>7.6130000000000004</v>
      </c>
      <c r="Q13" s="14">
        <v>8.6428999999999991</v>
      </c>
      <c r="R13" s="14">
        <v>8.7766000000000002</v>
      </c>
      <c r="S13" s="14">
        <v>9.4724000000000004</v>
      </c>
      <c r="T13" s="14">
        <v>10.7164</v>
      </c>
    </row>
    <row r="14" spans="1:20" x14ac:dyDescent="0.3">
      <c r="A14" s="10" t="s">
        <v>544</v>
      </c>
      <c r="B14" s="10" t="s">
        <v>545</v>
      </c>
      <c r="C14" s="14">
        <v>2.9342000000000001</v>
      </c>
      <c r="D14" s="14">
        <v>4.1859000000000002</v>
      </c>
      <c r="E14" s="14">
        <v>3.2139000000000002</v>
      </c>
      <c r="F14" s="14">
        <v>3.2684000000000002</v>
      </c>
      <c r="G14" s="14">
        <v>3.9013</v>
      </c>
      <c r="H14" s="14">
        <v>3.0289999999999999</v>
      </c>
      <c r="I14" s="14">
        <v>3.5419999999999998</v>
      </c>
      <c r="J14" s="14">
        <v>3.4876</v>
      </c>
      <c r="K14" s="14">
        <v>3.2576000000000001</v>
      </c>
      <c r="L14" s="14">
        <v>3.8610000000000002</v>
      </c>
      <c r="M14" s="14">
        <v>3.5766</v>
      </c>
      <c r="N14" s="14">
        <v>2.9458000000000002</v>
      </c>
      <c r="O14" s="14">
        <v>4.835</v>
      </c>
      <c r="P14" s="14">
        <v>4.3944999999999999</v>
      </c>
      <c r="Q14" s="14">
        <v>5.2176999999999998</v>
      </c>
      <c r="R14" s="14">
        <v>5.6289999999999996</v>
      </c>
      <c r="S14" s="14">
        <v>5.8925000000000001</v>
      </c>
      <c r="T14" s="14">
        <v>7.7877000000000001</v>
      </c>
    </row>
    <row r="15" spans="1:20" x14ac:dyDescent="0.3">
      <c r="A15" s="10" t="s">
        <v>240</v>
      </c>
      <c r="B15" s="10" t="s">
        <v>241</v>
      </c>
      <c r="C15" s="14">
        <v>1.3133999999999999</v>
      </c>
      <c r="D15" s="14">
        <v>2.7637</v>
      </c>
      <c r="E15" s="14">
        <v>1.5659000000000001</v>
      </c>
      <c r="F15" s="14">
        <v>1.9353</v>
      </c>
      <c r="G15" s="14">
        <v>2.831</v>
      </c>
      <c r="H15" s="14">
        <v>1.7734000000000001</v>
      </c>
      <c r="I15" s="14">
        <v>2.3050000000000002</v>
      </c>
      <c r="J15" s="14">
        <v>2.2677</v>
      </c>
      <c r="K15" s="14">
        <v>2.0464000000000002</v>
      </c>
      <c r="L15" s="14">
        <v>2.6044999999999998</v>
      </c>
      <c r="M15" s="14">
        <v>2.3311999999999999</v>
      </c>
      <c r="N15" s="14">
        <v>1.6025</v>
      </c>
      <c r="O15" s="14">
        <v>2.5354999999999999</v>
      </c>
      <c r="P15" s="14">
        <v>2.2250999999999999</v>
      </c>
      <c r="Q15" s="14">
        <v>2.9762</v>
      </c>
      <c r="R15" s="14">
        <v>3.6316999999999999</v>
      </c>
      <c r="S15" s="14">
        <v>4.2495000000000003</v>
      </c>
      <c r="T15" s="14">
        <v>6.2129000000000003</v>
      </c>
    </row>
    <row r="16" spans="1:20" x14ac:dyDescent="0.3">
      <c r="A16" s="10" t="s">
        <v>546</v>
      </c>
      <c r="B16" s="10" t="s">
        <v>547</v>
      </c>
      <c r="C16" s="14">
        <v>-4.4786000000000001</v>
      </c>
      <c r="D16" s="14" t="s">
        <v>65</v>
      </c>
      <c r="E16" s="14">
        <v>-7.3643999999999998</v>
      </c>
      <c r="F16" s="14">
        <v>7.1215000000000002</v>
      </c>
      <c r="G16" s="14">
        <v>11.3408</v>
      </c>
      <c r="H16" s="14">
        <v>-12.5815</v>
      </c>
      <c r="I16" s="14" t="s">
        <v>65</v>
      </c>
      <c r="J16" s="14">
        <v>-3.5800999999999998</v>
      </c>
      <c r="K16" s="14" t="s">
        <v>65</v>
      </c>
      <c r="L16" s="14">
        <v>10.946199999999999</v>
      </c>
      <c r="M16" s="14" t="s">
        <v>65</v>
      </c>
      <c r="N16" s="14" t="s">
        <v>65</v>
      </c>
      <c r="O16" s="14" t="s">
        <v>65</v>
      </c>
      <c r="P16" s="14">
        <v>-15.2639</v>
      </c>
      <c r="Q16" s="14" t="s">
        <v>65</v>
      </c>
      <c r="R16" s="14">
        <v>5.9184000000000001</v>
      </c>
      <c r="S16" s="14">
        <v>10.548500000000001</v>
      </c>
      <c r="T16" s="14">
        <v>15.489599999999999</v>
      </c>
    </row>
    <row r="17" spans="1:20" x14ac:dyDescent="0.3">
      <c r="A17" s="10" t="s">
        <v>548</v>
      </c>
      <c r="B17" s="10" t="s">
        <v>549</v>
      </c>
      <c r="C17" s="14">
        <v>8.7999999999999995E-2</v>
      </c>
      <c r="D17" s="14">
        <v>-9.3186</v>
      </c>
      <c r="E17" s="14">
        <v>0.99139999999999995</v>
      </c>
      <c r="F17" s="14">
        <v>1.8295999999999999</v>
      </c>
      <c r="G17" s="14">
        <v>2.7561</v>
      </c>
      <c r="H17" s="14">
        <v>1.7196</v>
      </c>
      <c r="I17" s="14">
        <v>2.2549999999999999</v>
      </c>
      <c r="J17" s="14">
        <v>2.2126000000000001</v>
      </c>
      <c r="K17" s="14">
        <v>1.9347000000000001</v>
      </c>
      <c r="L17" s="14">
        <v>2.6760000000000002</v>
      </c>
      <c r="M17" s="14">
        <v>2.1667999999999998</v>
      </c>
      <c r="N17" s="14">
        <v>1.2346999999999999</v>
      </c>
      <c r="O17" s="14">
        <v>1.6949000000000001</v>
      </c>
      <c r="P17" s="14">
        <v>1.5691999999999999</v>
      </c>
      <c r="Q17" s="14">
        <v>2.4136000000000002</v>
      </c>
      <c r="R17" s="14">
        <v>2.8083</v>
      </c>
      <c r="S17" s="14">
        <v>3.8437000000000001</v>
      </c>
      <c r="T17" s="14">
        <v>5.5172999999999996</v>
      </c>
    </row>
    <row r="18" spans="1:20" x14ac:dyDescent="0.3">
      <c r="A18" s="10" t="s">
        <v>550</v>
      </c>
      <c r="B18" s="10" t="s">
        <v>551</v>
      </c>
      <c r="C18" s="14">
        <v>-0.16980000000000001</v>
      </c>
      <c r="D18" s="14">
        <v>-9.3836999999999993</v>
      </c>
      <c r="E18" s="14">
        <v>0.90280000000000005</v>
      </c>
      <c r="F18" s="14">
        <v>1.5507</v>
      </c>
      <c r="G18" s="14">
        <v>2.7048000000000001</v>
      </c>
      <c r="H18" s="14">
        <v>1.8088</v>
      </c>
      <c r="I18" s="14">
        <v>2.0358999999999998</v>
      </c>
      <c r="J18" s="14">
        <v>1.9214</v>
      </c>
      <c r="K18" s="14">
        <v>1.1862999999999999</v>
      </c>
      <c r="L18" s="14">
        <v>2.2654000000000001</v>
      </c>
      <c r="M18" s="14">
        <v>1.7175</v>
      </c>
      <c r="N18" s="14">
        <v>1.4910000000000001</v>
      </c>
      <c r="O18" s="14">
        <v>1.1939</v>
      </c>
      <c r="P18" s="14">
        <v>1.0543</v>
      </c>
      <c r="Q18" s="14">
        <v>1.8439000000000001</v>
      </c>
      <c r="R18" s="14">
        <v>2.0068999999999999</v>
      </c>
      <c r="S18" s="14">
        <v>3.07</v>
      </c>
      <c r="T18" s="14">
        <v>4.4371</v>
      </c>
    </row>
    <row r="19" spans="1:20" x14ac:dyDescent="0.3">
      <c r="A19" s="10" t="s">
        <v>552</v>
      </c>
      <c r="B19" s="10" t="s">
        <v>243</v>
      </c>
      <c r="C19" s="14">
        <v>-0.16980000000000001</v>
      </c>
      <c r="D19" s="14">
        <v>-9.3836999999999993</v>
      </c>
      <c r="E19" s="14">
        <v>0.90280000000000005</v>
      </c>
      <c r="F19" s="14">
        <v>1.5507</v>
      </c>
      <c r="G19" s="14">
        <v>2.7048000000000001</v>
      </c>
      <c r="H19" s="14">
        <v>1.8088</v>
      </c>
      <c r="I19" s="14">
        <v>2.0358999999999998</v>
      </c>
      <c r="J19" s="14">
        <v>1.9214</v>
      </c>
      <c r="K19" s="14">
        <v>1.1862999999999999</v>
      </c>
      <c r="L19" s="14">
        <v>2.2654000000000001</v>
      </c>
      <c r="M19" s="14">
        <v>1.7175</v>
      </c>
      <c r="N19" s="14">
        <v>1.4910000000000001</v>
      </c>
      <c r="O19" s="14">
        <v>1.1939</v>
      </c>
      <c r="P19" s="14">
        <v>1.0543</v>
      </c>
      <c r="Q19" s="14">
        <v>1.8439000000000001</v>
      </c>
      <c r="R19" s="14">
        <v>2.0068999999999999</v>
      </c>
      <c r="S19" s="14">
        <v>3.07</v>
      </c>
      <c r="T19" s="14">
        <v>4.4371</v>
      </c>
    </row>
    <row r="20" spans="1:20" x14ac:dyDescent="0.3">
      <c r="A20" s="10" t="s">
        <v>553</v>
      </c>
      <c r="B20" s="10" t="s">
        <v>554</v>
      </c>
      <c r="C20" s="14">
        <v>-0.16980000000000001</v>
      </c>
      <c r="D20" s="14">
        <v>-9.3836999999999993</v>
      </c>
      <c r="E20" s="14">
        <v>0.90280000000000005</v>
      </c>
      <c r="F20" s="14">
        <v>1.5507</v>
      </c>
      <c r="G20" s="14">
        <v>2.7048000000000001</v>
      </c>
      <c r="H20" s="14">
        <v>1.8088</v>
      </c>
      <c r="I20" s="14">
        <v>2.0358999999999998</v>
      </c>
      <c r="J20" s="14">
        <v>1.9214</v>
      </c>
      <c r="K20" s="14">
        <v>1.1862999999999999</v>
      </c>
      <c r="L20" s="14">
        <v>2.2654000000000001</v>
      </c>
      <c r="M20" s="14">
        <v>1.7175</v>
      </c>
      <c r="N20" s="14">
        <v>1.4910000000000001</v>
      </c>
      <c r="O20" s="14">
        <v>1.1939</v>
      </c>
      <c r="P20" s="14">
        <v>1.0543</v>
      </c>
      <c r="Q20" s="14">
        <v>1.8439000000000001</v>
      </c>
      <c r="R20" s="14">
        <v>2.0068999999999999</v>
      </c>
      <c r="S20" s="14">
        <v>3.07</v>
      </c>
      <c r="T20" s="14">
        <v>4.4371</v>
      </c>
    </row>
    <row r="21" spans="1:20" x14ac:dyDescent="0.3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 x14ac:dyDescent="0.3">
      <c r="A22" s="6" t="s">
        <v>555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</row>
    <row r="23" spans="1:20" x14ac:dyDescent="0.3">
      <c r="A23" s="10" t="s">
        <v>556</v>
      </c>
      <c r="B23" s="10" t="s">
        <v>557</v>
      </c>
      <c r="C23" s="14">
        <v>292.95780000000002</v>
      </c>
      <c r="D23" s="14" t="s">
        <v>65</v>
      </c>
      <c r="E23" s="14">
        <v>8.9404000000000003</v>
      </c>
      <c r="F23" s="14">
        <v>15.242900000000001</v>
      </c>
      <c r="G23" s="14">
        <v>1.8612</v>
      </c>
      <c r="H23" s="14" t="s">
        <v>65</v>
      </c>
      <c r="I23" s="14">
        <v>9.7169000000000008</v>
      </c>
      <c r="J23" s="14">
        <v>13.162100000000001</v>
      </c>
      <c r="K23" s="14">
        <v>38.680100000000003</v>
      </c>
      <c r="L23" s="14">
        <v>15.3416</v>
      </c>
      <c r="M23" s="14">
        <v>20.7363</v>
      </c>
      <c r="N23" s="14" t="s">
        <v>65</v>
      </c>
      <c r="O23" s="14">
        <v>29.559100000000001</v>
      </c>
      <c r="P23" s="14">
        <v>32.816000000000003</v>
      </c>
      <c r="Q23" s="14">
        <v>23.602900000000002</v>
      </c>
      <c r="R23" s="14">
        <v>28.536300000000001</v>
      </c>
      <c r="S23" s="14">
        <v>20.130700000000001</v>
      </c>
      <c r="T23" s="14">
        <v>19.5791</v>
      </c>
    </row>
    <row r="24" spans="1:20" x14ac:dyDescent="0.3">
      <c r="A24" s="10" t="s">
        <v>558</v>
      </c>
      <c r="B24" s="10" t="s">
        <v>559</v>
      </c>
      <c r="C24" s="14" t="s">
        <v>65</v>
      </c>
      <c r="D24" s="14" t="s">
        <v>65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</row>
    <row r="25" spans="1:20" x14ac:dyDescent="0.3">
      <c r="A25" s="10" t="s">
        <v>560</v>
      </c>
      <c r="B25" s="10" t="s">
        <v>561</v>
      </c>
      <c r="C25" s="14" t="s">
        <v>65</v>
      </c>
      <c r="D25" s="14" t="s">
        <v>65</v>
      </c>
      <c r="E25" s="14">
        <v>3.8715000000000002</v>
      </c>
      <c r="F25" s="14">
        <v>7.3368000000000002</v>
      </c>
      <c r="G25" s="14">
        <v>14.206099999999999</v>
      </c>
      <c r="H25" s="14">
        <v>8.4479000000000006</v>
      </c>
      <c r="I25" s="14">
        <v>8.6615000000000002</v>
      </c>
      <c r="J25" s="14">
        <v>7.7370999999999999</v>
      </c>
      <c r="K25" s="14">
        <v>5.3823999999999996</v>
      </c>
      <c r="L25" s="14">
        <v>11.7006</v>
      </c>
      <c r="M25" s="14">
        <v>8.0874000000000006</v>
      </c>
      <c r="N25" s="14">
        <v>7.3190999999999997</v>
      </c>
      <c r="O25" s="14">
        <v>5.2297000000000002</v>
      </c>
      <c r="P25" s="14">
        <v>4.383</v>
      </c>
      <c r="Q25" s="14">
        <v>7.2354000000000003</v>
      </c>
      <c r="R25" s="14">
        <v>9.2654999999999994</v>
      </c>
      <c r="S25" s="14">
        <v>14.173500000000001</v>
      </c>
      <c r="T25" s="14">
        <v>23.343299999999999</v>
      </c>
    </row>
    <row r="26" spans="1:20" x14ac:dyDescent="0.3">
      <c r="A26" s="7" t="s">
        <v>90</v>
      </c>
      <c r="B26" s="7"/>
      <c r="C26" s="7" t="s">
        <v>91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36"/>
  <sheetViews>
    <sheetView tabSelected="1" topLeftCell="Y1" zoomScale="87" workbookViewId="0">
      <selection activeCell="AC36" sqref="AC36:AL36"/>
    </sheetView>
  </sheetViews>
  <sheetFormatPr defaultRowHeight="14.4" x14ac:dyDescent="0.3"/>
  <cols>
    <col min="1" max="1" width="35.109375" customWidth="1"/>
    <col min="2" max="2" width="0" hidden="1" customWidth="1"/>
    <col min="3" max="3" width="7.88671875" bestFit="1" customWidth="1"/>
    <col min="4" max="4" width="8.44140625" bestFit="1" customWidth="1"/>
    <col min="5" max="5" width="7.88671875" bestFit="1" customWidth="1"/>
    <col min="6" max="6" width="8.44140625" bestFit="1" customWidth="1"/>
    <col min="7" max="7" width="7.88671875" bestFit="1" customWidth="1"/>
    <col min="8" max="8" width="8.44140625" bestFit="1" customWidth="1"/>
    <col min="9" max="9" width="7.88671875" bestFit="1" customWidth="1"/>
    <col min="10" max="10" width="8.44140625" bestFit="1" customWidth="1"/>
    <col min="11" max="11" width="7.88671875" bestFit="1" customWidth="1"/>
    <col min="12" max="12" width="8.44140625" bestFit="1" customWidth="1"/>
    <col min="13" max="13" width="7.88671875" bestFit="1" customWidth="1"/>
    <col min="14" max="14" width="8.44140625" bestFit="1" customWidth="1"/>
    <col min="15" max="15" width="7.88671875" bestFit="1" customWidth="1"/>
    <col min="16" max="16" width="8.44140625" bestFit="1" customWidth="1"/>
    <col min="17" max="17" width="7.88671875" bestFit="1" customWidth="1"/>
    <col min="18" max="18" width="8.44140625" bestFit="1" customWidth="1"/>
    <col min="19" max="19" width="7.88671875" bestFit="1" customWidth="1"/>
    <col min="20" max="20" width="8.44140625" bestFit="1" customWidth="1"/>
    <col min="21" max="21" width="7.88671875" bestFit="1" customWidth="1"/>
    <col min="22" max="22" width="8.44140625" bestFit="1" customWidth="1"/>
    <col min="23" max="23" width="7.88671875" bestFit="1" customWidth="1"/>
    <col min="24" max="24" width="8.44140625" bestFit="1" customWidth="1"/>
    <col min="25" max="25" width="7.88671875" bestFit="1" customWidth="1"/>
    <col min="26" max="26" width="8.44140625" bestFit="1" customWidth="1"/>
    <col min="27" max="27" width="7.88671875" bestFit="1" customWidth="1"/>
    <col min="28" max="28" width="8.44140625" bestFit="1" customWidth="1"/>
    <col min="29" max="29" width="7.88671875" bestFit="1" customWidth="1"/>
    <col min="30" max="30" width="8.44140625" bestFit="1" customWidth="1"/>
    <col min="31" max="31" width="7.88671875" bestFit="1" customWidth="1"/>
    <col min="32" max="32" width="8.44140625" bestFit="1" customWidth="1"/>
    <col min="33" max="33" width="7.88671875" bestFit="1" customWidth="1"/>
    <col min="34" max="34" width="8.44140625" bestFit="1" customWidth="1"/>
    <col min="35" max="35" width="7.88671875" bestFit="1" customWidth="1"/>
    <col min="36" max="36" width="8.44140625" bestFit="1" customWidth="1"/>
    <col min="37" max="37" width="7.88671875" bestFit="1" customWidth="1"/>
    <col min="38" max="38" width="8.44140625" customWidth="1"/>
  </cols>
  <sheetData>
    <row r="1" spans="1:3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1" x14ac:dyDescent="0.3">
      <c r="A2" s="8" t="s">
        <v>562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3">
      <c r="A4" s="3" t="s">
        <v>1</v>
      </c>
      <c r="B4" s="3"/>
      <c r="C4" s="28" t="s">
        <v>257</v>
      </c>
      <c r="D4" s="28"/>
      <c r="E4" s="28" t="s">
        <v>258</v>
      </c>
      <c r="F4" s="28"/>
      <c r="G4" s="28" t="s">
        <v>259</v>
      </c>
      <c r="H4" s="28"/>
      <c r="I4" s="28" t="s">
        <v>2</v>
      </c>
      <c r="J4" s="28"/>
      <c r="K4" s="28" t="s">
        <v>3</v>
      </c>
      <c r="L4" s="28"/>
      <c r="M4" s="28" t="s">
        <v>4</v>
      </c>
      <c r="N4" s="28"/>
      <c r="O4" s="28" t="s">
        <v>5</v>
      </c>
      <c r="P4" s="28"/>
      <c r="Q4" s="28" t="s">
        <v>6</v>
      </c>
      <c r="R4" s="28"/>
      <c r="S4" s="28" t="s">
        <v>7</v>
      </c>
      <c r="T4" s="28"/>
      <c r="U4" s="28" t="s">
        <v>8</v>
      </c>
      <c r="V4" s="28"/>
      <c r="W4" s="28" t="s">
        <v>9</v>
      </c>
      <c r="X4" s="28"/>
      <c r="Y4" s="28" t="s">
        <v>10</v>
      </c>
      <c r="Z4" s="28"/>
      <c r="AA4" s="28" t="s">
        <v>11</v>
      </c>
      <c r="AB4" s="28"/>
      <c r="AC4" s="28" t="s">
        <v>12</v>
      </c>
      <c r="AD4" s="28"/>
      <c r="AE4" s="28" t="s">
        <v>13</v>
      </c>
      <c r="AF4" s="28"/>
      <c r="AG4" s="28" t="s">
        <v>14</v>
      </c>
      <c r="AH4" s="28"/>
      <c r="AI4" s="28" t="s">
        <v>15</v>
      </c>
      <c r="AJ4" s="28"/>
      <c r="AK4" s="28" t="s">
        <v>16</v>
      </c>
      <c r="AL4" s="28"/>
    </row>
    <row r="5" spans="1:38" x14ac:dyDescent="0.3">
      <c r="A5" s="9" t="s">
        <v>20</v>
      </c>
      <c r="B5" s="9"/>
      <c r="C5" s="29" t="s">
        <v>260</v>
      </c>
      <c r="D5" s="29"/>
      <c r="E5" s="29" t="s">
        <v>261</v>
      </c>
      <c r="F5" s="29"/>
      <c r="G5" s="29" t="s">
        <v>262</v>
      </c>
      <c r="H5" s="29"/>
      <c r="I5" s="29" t="s">
        <v>21</v>
      </c>
      <c r="J5" s="29"/>
      <c r="K5" s="29" t="s">
        <v>22</v>
      </c>
      <c r="L5" s="29"/>
      <c r="M5" s="29" t="s">
        <v>23</v>
      </c>
      <c r="N5" s="29"/>
      <c r="O5" s="29" t="s">
        <v>24</v>
      </c>
      <c r="P5" s="29"/>
      <c r="Q5" s="29" t="s">
        <v>25</v>
      </c>
      <c r="R5" s="29"/>
      <c r="S5" s="29" t="s">
        <v>26</v>
      </c>
      <c r="T5" s="29"/>
      <c r="U5" s="29" t="s">
        <v>27</v>
      </c>
      <c r="V5" s="29"/>
      <c r="W5" s="29" t="s">
        <v>28</v>
      </c>
      <c r="X5" s="29"/>
      <c r="Y5" s="29" t="s">
        <v>29</v>
      </c>
      <c r="Z5" s="29"/>
      <c r="AA5" s="29" t="s">
        <v>30</v>
      </c>
      <c r="AB5" s="29"/>
      <c r="AC5" s="29" t="s">
        <v>31</v>
      </c>
      <c r="AD5" s="29"/>
      <c r="AE5" s="29" t="s">
        <v>32</v>
      </c>
      <c r="AF5" s="29"/>
      <c r="AG5" s="29" t="s">
        <v>33</v>
      </c>
      <c r="AH5" s="29"/>
      <c r="AI5" s="29" t="s">
        <v>34</v>
      </c>
      <c r="AJ5" s="29"/>
      <c r="AK5" s="29" t="s">
        <v>35</v>
      </c>
      <c r="AL5" s="29"/>
    </row>
    <row r="6" spans="1:38" x14ac:dyDescent="0.3">
      <c r="A6" s="6" t="s">
        <v>144</v>
      </c>
      <c r="B6" s="6"/>
      <c r="C6" s="34">
        <v>8070.41</v>
      </c>
      <c r="D6" s="35">
        <v>1</v>
      </c>
      <c r="E6" s="34">
        <v>7678.2</v>
      </c>
      <c r="F6" s="35">
        <v>1</v>
      </c>
      <c r="G6" s="34">
        <v>6092.2</v>
      </c>
      <c r="H6" s="35">
        <v>1</v>
      </c>
      <c r="I6" s="34">
        <v>6526.1</v>
      </c>
      <c r="J6" s="35">
        <v>1</v>
      </c>
      <c r="K6" s="34">
        <v>7213</v>
      </c>
      <c r="L6" s="35">
        <v>1</v>
      </c>
      <c r="M6" s="34">
        <v>6507.2</v>
      </c>
      <c r="N6" s="35">
        <v>1</v>
      </c>
      <c r="O6" s="34">
        <v>5796.1</v>
      </c>
      <c r="P6" s="35">
        <v>1</v>
      </c>
      <c r="Q6" s="34">
        <v>5631.3</v>
      </c>
      <c r="R6" s="35">
        <v>1</v>
      </c>
      <c r="S6" s="34">
        <v>5639.2</v>
      </c>
      <c r="T6" s="35">
        <v>1</v>
      </c>
      <c r="U6" s="34">
        <v>6016.5</v>
      </c>
      <c r="V6" s="35">
        <v>1</v>
      </c>
      <c r="W6" s="34">
        <v>6142.7</v>
      </c>
      <c r="X6" s="35">
        <v>1</v>
      </c>
      <c r="Y6" s="34">
        <v>6633.2</v>
      </c>
      <c r="Z6" s="35">
        <v>1</v>
      </c>
      <c r="AA6" s="34">
        <v>5888.3</v>
      </c>
      <c r="AB6" s="35">
        <v>1</v>
      </c>
      <c r="AC6" s="34">
        <v>5748.1</v>
      </c>
      <c r="AD6" s="35">
        <v>1</v>
      </c>
      <c r="AE6" s="34">
        <v>5634.7</v>
      </c>
      <c r="AF6" s="35">
        <v>1</v>
      </c>
      <c r="AG6" s="34">
        <v>7250</v>
      </c>
      <c r="AH6" s="35">
        <v>1</v>
      </c>
      <c r="AI6" s="34">
        <v>7961</v>
      </c>
      <c r="AJ6" s="35">
        <v>1</v>
      </c>
      <c r="AK6" s="34">
        <v>9646</v>
      </c>
      <c r="AL6" s="35">
        <v>1</v>
      </c>
    </row>
    <row r="7" spans="1:38" x14ac:dyDescent="0.3">
      <c r="A7" s="10" t="s">
        <v>563</v>
      </c>
      <c r="B7" s="10"/>
      <c r="C7" s="30" t="s">
        <v>65</v>
      </c>
      <c r="D7" s="31"/>
      <c r="E7" s="30" t="s">
        <v>65</v>
      </c>
      <c r="F7" s="31"/>
      <c r="G7" s="30" t="s">
        <v>65</v>
      </c>
      <c r="H7" s="31"/>
      <c r="I7" s="30" t="s">
        <v>65</v>
      </c>
      <c r="J7" s="31"/>
      <c r="K7" s="30" t="s">
        <v>65</v>
      </c>
      <c r="L7" s="31"/>
      <c r="M7" s="30" t="s">
        <v>65</v>
      </c>
      <c r="N7" s="31"/>
      <c r="O7" s="30" t="s">
        <v>65</v>
      </c>
      <c r="P7" s="31"/>
      <c r="Q7" s="30" t="s">
        <v>65</v>
      </c>
      <c r="R7" s="31"/>
      <c r="S7" s="30" t="s">
        <v>65</v>
      </c>
      <c r="T7" s="31"/>
      <c r="U7" s="30" t="s">
        <v>65</v>
      </c>
      <c r="V7" s="31"/>
      <c r="W7" s="30">
        <v>4184.1000000000004</v>
      </c>
      <c r="X7" s="31">
        <v>0.68114998290653905</v>
      </c>
      <c r="Y7" s="30">
        <v>4423.5</v>
      </c>
      <c r="Z7" s="31">
        <v>0.66687270095881301</v>
      </c>
      <c r="AA7" s="30">
        <v>3602.7</v>
      </c>
      <c r="AB7" s="31">
        <v>0.61184042932595195</v>
      </c>
      <c r="AC7" s="30">
        <v>3661.8</v>
      </c>
      <c r="AD7" s="31">
        <v>0.63704528452880105</v>
      </c>
      <c r="AE7" s="30">
        <v>3319.6</v>
      </c>
      <c r="AF7" s="31">
        <v>0.58913518022254996</v>
      </c>
      <c r="AG7" s="30">
        <v>4271</v>
      </c>
      <c r="AH7" s="31">
        <v>0.58910344827586203</v>
      </c>
      <c r="AI7" s="30">
        <v>4641.2</v>
      </c>
      <c r="AJ7" s="31">
        <v>0.58299208642130396</v>
      </c>
      <c r="AK7" s="30">
        <v>6490.5</v>
      </c>
      <c r="AL7" s="31">
        <v>0.67286958324694202</v>
      </c>
    </row>
    <row r="8" spans="1:38" x14ac:dyDescent="0.3">
      <c r="A8" s="10" t="s">
        <v>564</v>
      </c>
      <c r="B8" s="10"/>
      <c r="C8" s="30" t="s">
        <v>65</v>
      </c>
      <c r="D8" s="31"/>
      <c r="E8" s="30" t="s">
        <v>65</v>
      </c>
      <c r="F8" s="31"/>
      <c r="G8" s="30" t="s">
        <v>65</v>
      </c>
      <c r="H8" s="31"/>
      <c r="I8" s="30" t="s">
        <v>65</v>
      </c>
      <c r="J8" s="31"/>
      <c r="K8" s="30" t="s">
        <v>65</v>
      </c>
      <c r="L8" s="31"/>
      <c r="M8" s="30" t="s">
        <v>65</v>
      </c>
      <c r="N8" s="31"/>
      <c r="O8" s="30" t="s">
        <v>65</v>
      </c>
      <c r="P8" s="31"/>
      <c r="Q8" s="30" t="s">
        <v>65</v>
      </c>
      <c r="R8" s="31"/>
      <c r="S8" s="30" t="s">
        <v>65</v>
      </c>
      <c r="T8" s="31"/>
      <c r="U8" s="30">
        <v>2526.9299999999998</v>
      </c>
      <c r="V8" s="31">
        <v>0.42</v>
      </c>
      <c r="W8" s="30">
        <v>2654.6</v>
      </c>
      <c r="X8" s="31">
        <v>0.43215524118058801</v>
      </c>
      <c r="Y8" s="30">
        <v>2724.2</v>
      </c>
      <c r="Z8" s="31">
        <v>0.41069167219441599</v>
      </c>
      <c r="AA8" s="30">
        <v>2346.4</v>
      </c>
      <c r="AB8" s="31">
        <v>0.39848513153202098</v>
      </c>
      <c r="AC8" s="30">
        <v>2434.8000000000002</v>
      </c>
      <c r="AD8" s="31">
        <v>0.42358344496442302</v>
      </c>
      <c r="AE8" s="30">
        <v>2259.9</v>
      </c>
      <c r="AF8" s="31">
        <v>0.40106837986050697</v>
      </c>
      <c r="AG8" s="30">
        <v>2865</v>
      </c>
      <c r="AH8" s="31">
        <v>0.39517241379310297</v>
      </c>
      <c r="AI8" s="30">
        <v>2675.6</v>
      </c>
      <c r="AJ8" s="31">
        <v>0.33608843110162001</v>
      </c>
      <c r="AK8" s="30">
        <v>3946.7</v>
      </c>
      <c r="AL8" s="31">
        <v>0.40915405349367601</v>
      </c>
    </row>
    <row r="9" spans="1:38" x14ac:dyDescent="0.3">
      <c r="A9" s="10" t="s">
        <v>565</v>
      </c>
      <c r="B9" s="10"/>
      <c r="C9" s="30" t="s">
        <v>65</v>
      </c>
      <c r="D9" s="31"/>
      <c r="E9" s="30" t="s">
        <v>65</v>
      </c>
      <c r="F9" s="31"/>
      <c r="G9" s="30" t="s">
        <v>65</v>
      </c>
      <c r="H9" s="31"/>
      <c r="I9" s="30" t="s">
        <v>65</v>
      </c>
      <c r="J9" s="31"/>
      <c r="K9" s="30" t="s">
        <v>65</v>
      </c>
      <c r="L9" s="31"/>
      <c r="M9" s="30" t="s">
        <v>65</v>
      </c>
      <c r="N9" s="31"/>
      <c r="O9" s="30" t="s">
        <v>65</v>
      </c>
      <c r="P9" s="31"/>
      <c r="Q9" s="30" t="s">
        <v>65</v>
      </c>
      <c r="R9" s="31"/>
      <c r="S9" s="30" t="s">
        <v>65</v>
      </c>
      <c r="T9" s="31"/>
      <c r="U9" s="30">
        <v>1564.29</v>
      </c>
      <c r="V9" s="31">
        <v>0.26</v>
      </c>
      <c r="W9" s="30">
        <v>1529.5</v>
      </c>
      <c r="X9" s="31">
        <v>0.24899474172595101</v>
      </c>
      <c r="Y9" s="30">
        <v>1699.3</v>
      </c>
      <c r="Z9" s="31">
        <v>0.25618102876439702</v>
      </c>
      <c r="AA9" s="30">
        <v>1256.3</v>
      </c>
      <c r="AB9" s="31">
        <v>0.21335529779393</v>
      </c>
      <c r="AC9" s="30">
        <v>1227</v>
      </c>
      <c r="AD9" s="31">
        <v>0.213461839564378</v>
      </c>
      <c r="AE9" s="30">
        <v>1059.7</v>
      </c>
      <c r="AF9" s="31">
        <v>0.18806680036204201</v>
      </c>
      <c r="AG9" s="30">
        <v>1406</v>
      </c>
      <c r="AH9" s="31">
        <v>0.193931034482759</v>
      </c>
      <c r="AI9" s="30">
        <v>1965.6</v>
      </c>
      <c r="AJ9" s="31">
        <v>0.246903655319683</v>
      </c>
      <c r="AK9" s="30">
        <v>2543.8000000000002</v>
      </c>
      <c r="AL9" s="31">
        <v>0.26371552975326601</v>
      </c>
    </row>
    <row r="10" spans="1:38" x14ac:dyDescent="0.3">
      <c r="A10" s="10" t="s">
        <v>566</v>
      </c>
      <c r="B10" s="10"/>
      <c r="C10" s="30" t="s">
        <v>65</v>
      </c>
      <c r="D10" s="31"/>
      <c r="E10" s="30" t="s">
        <v>65</v>
      </c>
      <c r="F10" s="31"/>
      <c r="G10" s="30" t="s">
        <v>65</v>
      </c>
      <c r="H10" s="31"/>
      <c r="I10" s="30" t="s">
        <v>65</v>
      </c>
      <c r="J10" s="31"/>
      <c r="K10" s="30" t="s">
        <v>65</v>
      </c>
      <c r="L10" s="31"/>
      <c r="M10" s="30" t="s">
        <v>65</v>
      </c>
      <c r="N10" s="31"/>
      <c r="O10" s="30" t="s">
        <v>65</v>
      </c>
      <c r="P10" s="31"/>
      <c r="Q10" s="30" t="s">
        <v>65</v>
      </c>
      <c r="R10" s="31"/>
      <c r="S10" s="30" t="s">
        <v>65</v>
      </c>
      <c r="T10" s="31"/>
      <c r="U10" s="30">
        <v>1925.28</v>
      </c>
      <c r="V10" s="31">
        <v>0.32</v>
      </c>
      <c r="W10" s="30">
        <v>1958.6</v>
      </c>
      <c r="X10" s="31">
        <v>0.318850017093461</v>
      </c>
      <c r="Y10" s="30">
        <v>2209.6999999999998</v>
      </c>
      <c r="Z10" s="31">
        <v>0.33312729904118699</v>
      </c>
      <c r="AA10" s="30">
        <v>2285.6</v>
      </c>
      <c r="AB10" s="31">
        <v>0.38815957067404899</v>
      </c>
      <c r="AC10" s="30">
        <v>2086.3000000000002</v>
      </c>
      <c r="AD10" s="31">
        <v>0.36295471547119901</v>
      </c>
      <c r="AE10" s="30">
        <v>2315.1</v>
      </c>
      <c r="AF10" s="31">
        <v>0.41086481977744999</v>
      </c>
      <c r="AG10" s="30">
        <v>2979</v>
      </c>
      <c r="AH10" s="31">
        <v>0.41089655172413803</v>
      </c>
      <c r="AI10" s="30">
        <v>3319.8</v>
      </c>
      <c r="AJ10" s="31">
        <v>0.41700791357869599</v>
      </c>
      <c r="AK10" s="30">
        <v>3155.5</v>
      </c>
      <c r="AL10" s="31">
        <v>0.32713041675305798</v>
      </c>
    </row>
    <row r="11" spans="1:38" x14ac:dyDescent="0.3">
      <c r="A11" s="10" t="s">
        <v>567</v>
      </c>
      <c r="B11" s="10"/>
      <c r="C11" s="30">
        <v>1129.8599999999999</v>
      </c>
      <c r="D11" s="31">
        <v>0.140000322164549</v>
      </c>
      <c r="E11" s="30">
        <v>1151.73</v>
      </c>
      <c r="F11" s="31">
        <v>0.15</v>
      </c>
      <c r="G11" s="30">
        <v>913.83</v>
      </c>
      <c r="H11" s="31">
        <v>0.15</v>
      </c>
      <c r="I11" s="30">
        <v>848.39300000000003</v>
      </c>
      <c r="J11" s="31">
        <v>0.13</v>
      </c>
      <c r="K11" s="30">
        <v>649.16999999999996</v>
      </c>
      <c r="L11" s="31">
        <v>0.09</v>
      </c>
      <c r="M11" s="30" t="s">
        <v>65</v>
      </c>
      <c r="N11" s="31"/>
      <c r="O11" s="30" t="s">
        <v>65</v>
      </c>
      <c r="P11" s="31"/>
      <c r="Q11" s="30" t="s">
        <v>65</v>
      </c>
      <c r="R11" s="31"/>
      <c r="S11" s="30" t="s">
        <v>65</v>
      </c>
      <c r="T11" s="31"/>
      <c r="U11" s="30" t="s">
        <v>65</v>
      </c>
      <c r="V11" s="31"/>
      <c r="W11" s="30" t="s">
        <v>65</v>
      </c>
      <c r="X11" s="31"/>
      <c r="Y11" s="30" t="s">
        <v>65</v>
      </c>
      <c r="Z11" s="31"/>
      <c r="AA11" s="30" t="s">
        <v>65</v>
      </c>
      <c r="AB11" s="31"/>
      <c r="AC11" s="30" t="s">
        <v>65</v>
      </c>
      <c r="AD11" s="31"/>
      <c r="AE11" s="30" t="s">
        <v>65</v>
      </c>
      <c r="AF11" s="31"/>
      <c r="AG11" s="30" t="s">
        <v>65</v>
      </c>
      <c r="AH11" s="31"/>
      <c r="AI11" s="30" t="s">
        <v>65</v>
      </c>
      <c r="AJ11" s="31"/>
      <c r="AK11" s="30" t="s">
        <v>65</v>
      </c>
      <c r="AL11" s="31"/>
    </row>
    <row r="12" spans="1:38" x14ac:dyDescent="0.3">
      <c r="A12" s="10" t="s">
        <v>568</v>
      </c>
      <c r="B12" s="10"/>
      <c r="C12" s="30" t="s">
        <v>65</v>
      </c>
      <c r="D12" s="31"/>
      <c r="E12" s="30" t="s">
        <v>65</v>
      </c>
      <c r="F12" s="31"/>
      <c r="G12" s="30" t="s">
        <v>65</v>
      </c>
      <c r="H12" s="31"/>
      <c r="I12" s="30" t="s">
        <v>65</v>
      </c>
      <c r="J12" s="31"/>
      <c r="K12" s="30" t="s">
        <v>65</v>
      </c>
      <c r="L12" s="31"/>
      <c r="M12" s="30" t="s">
        <v>65</v>
      </c>
      <c r="N12" s="31"/>
      <c r="O12" s="30" t="s">
        <v>65</v>
      </c>
      <c r="P12" s="31"/>
      <c r="Q12" s="30">
        <v>5631.3</v>
      </c>
      <c r="R12" s="31">
        <v>1</v>
      </c>
      <c r="S12" s="30">
        <v>5639.2</v>
      </c>
      <c r="T12" s="31">
        <v>1</v>
      </c>
      <c r="U12" s="30">
        <v>6016.5</v>
      </c>
      <c r="V12" s="31">
        <v>1</v>
      </c>
      <c r="W12" s="30" t="s">
        <v>65</v>
      </c>
      <c r="X12" s="31"/>
      <c r="Y12" s="30" t="s">
        <v>65</v>
      </c>
      <c r="Z12" s="31"/>
      <c r="AA12" s="30" t="s">
        <v>65</v>
      </c>
      <c r="AB12" s="31"/>
      <c r="AC12" s="30" t="s">
        <v>65</v>
      </c>
      <c r="AD12" s="31"/>
      <c r="AE12" s="30" t="s">
        <v>65</v>
      </c>
      <c r="AF12" s="31"/>
      <c r="AG12" s="30" t="s">
        <v>65</v>
      </c>
      <c r="AH12" s="31"/>
      <c r="AI12" s="30" t="s">
        <v>65</v>
      </c>
      <c r="AJ12" s="31"/>
      <c r="AK12" s="30" t="s">
        <v>65</v>
      </c>
      <c r="AL12" s="31"/>
    </row>
    <row r="13" spans="1:38" x14ac:dyDescent="0.3">
      <c r="A13" s="10" t="s">
        <v>569</v>
      </c>
      <c r="B13" s="10"/>
      <c r="C13" s="30" t="s">
        <v>65</v>
      </c>
      <c r="D13" s="31"/>
      <c r="E13" s="30" t="s">
        <v>65</v>
      </c>
      <c r="F13" s="31"/>
      <c r="G13" s="30" t="s">
        <v>65</v>
      </c>
      <c r="H13" s="31"/>
      <c r="I13" s="30" t="s">
        <v>65</v>
      </c>
      <c r="J13" s="31"/>
      <c r="K13" s="30" t="s">
        <v>65</v>
      </c>
      <c r="L13" s="31"/>
      <c r="M13" s="30" t="s">
        <v>65</v>
      </c>
      <c r="N13" s="31"/>
      <c r="O13" s="30" t="s">
        <v>65</v>
      </c>
      <c r="P13" s="31"/>
      <c r="Q13" s="30" t="s">
        <v>65</v>
      </c>
      <c r="R13" s="31"/>
      <c r="S13" s="30">
        <v>29</v>
      </c>
      <c r="T13" s="31">
        <v>5.14257341466875E-3</v>
      </c>
      <c r="U13" s="30" t="s">
        <v>65</v>
      </c>
      <c r="V13" s="31"/>
      <c r="W13" s="30" t="s">
        <v>65</v>
      </c>
      <c r="X13" s="31"/>
      <c r="Y13" s="30" t="s">
        <v>65</v>
      </c>
      <c r="Z13" s="31"/>
      <c r="AA13" s="30" t="s">
        <v>65</v>
      </c>
      <c r="AB13" s="31"/>
      <c r="AC13" s="30" t="s">
        <v>65</v>
      </c>
      <c r="AD13" s="31"/>
      <c r="AE13" s="30" t="s">
        <v>65</v>
      </c>
      <c r="AF13" s="31"/>
      <c r="AG13" s="30" t="s">
        <v>65</v>
      </c>
      <c r="AH13" s="31"/>
      <c r="AI13" s="30" t="s">
        <v>65</v>
      </c>
      <c r="AJ13" s="31"/>
      <c r="AK13" s="30" t="s">
        <v>65</v>
      </c>
      <c r="AL13" s="31"/>
    </row>
    <row r="14" spans="1:38" x14ac:dyDescent="0.3">
      <c r="A14" s="10" t="s">
        <v>570</v>
      </c>
      <c r="B14" s="10"/>
      <c r="C14" s="30">
        <v>564.92999999999995</v>
      </c>
      <c r="D14" s="31">
        <v>7.0000161082274595E-2</v>
      </c>
      <c r="E14" s="30">
        <v>614.25599999999997</v>
      </c>
      <c r="F14" s="31">
        <v>0.08</v>
      </c>
      <c r="G14" s="30">
        <v>609.22</v>
      </c>
      <c r="H14" s="31">
        <v>0.1</v>
      </c>
      <c r="I14" s="30">
        <v>783.13199999999995</v>
      </c>
      <c r="J14" s="31">
        <v>0.12</v>
      </c>
      <c r="K14" s="30">
        <v>1009.82</v>
      </c>
      <c r="L14" s="31">
        <v>0.14000000000000001</v>
      </c>
      <c r="M14" s="30">
        <v>1301.44</v>
      </c>
      <c r="N14" s="31">
        <v>0.2</v>
      </c>
      <c r="O14" s="30">
        <v>1449.0250000000001</v>
      </c>
      <c r="P14" s="31">
        <v>0.25</v>
      </c>
      <c r="Q14" s="30">
        <v>1576.76</v>
      </c>
      <c r="R14" s="31">
        <v>0.27999928968444199</v>
      </c>
      <c r="S14" s="30" t="s">
        <v>65</v>
      </c>
      <c r="T14" s="31"/>
      <c r="U14" s="30" t="s">
        <v>65</v>
      </c>
      <c r="V14" s="31"/>
      <c r="W14" s="30" t="s">
        <v>65</v>
      </c>
      <c r="X14" s="31"/>
      <c r="Y14" s="30" t="s">
        <v>65</v>
      </c>
      <c r="Z14" s="31"/>
      <c r="AA14" s="30" t="s">
        <v>65</v>
      </c>
      <c r="AB14" s="31"/>
      <c r="AC14" s="30" t="s">
        <v>65</v>
      </c>
      <c r="AD14" s="31"/>
      <c r="AE14" s="30" t="s">
        <v>65</v>
      </c>
      <c r="AF14" s="31"/>
      <c r="AG14" s="30" t="s">
        <v>65</v>
      </c>
      <c r="AH14" s="31"/>
      <c r="AI14" s="30" t="s">
        <v>65</v>
      </c>
      <c r="AJ14" s="31"/>
      <c r="AK14" s="30" t="s">
        <v>65</v>
      </c>
      <c r="AL14" s="31"/>
    </row>
    <row r="15" spans="1:38" x14ac:dyDescent="0.3">
      <c r="A15" s="10" t="s">
        <v>571</v>
      </c>
      <c r="B15" s="10"/>
      <c r="C15" s="30">
        <v>1775.49</v>
      </c>
      <c r="D15" s="31">
        <v>0.21999997521811199</v>
      </c>
      <c r="E15" s="30">
        <v>1996.3320000000001</v>
      </c>
      <c r="F15" s="31">
        <v>0.26</v>
      </c>
      <c r="G15" s="30">
        <v>1766.7380000000001</v>
      </c>
      <c r="H15" s="31">
        <v>0.28999999999999998</v>
      </c>
      <c r="I15" s="30">
        <v>1631.5250000000001</v>
      </c>
      <c r="J15" s="31">
        <v>0.25</v>
      </c>
      <c r="K15" s="30">
        <v>1803.25</v>
      </c>
      <c r="L15" s="31">
        <v>0.25</v>
      </c>
      <c r="M15" s="30">
        <v>1171.296</v>
      </c>
      <c r="N15" s="31">
        <v>0.18</v>
      </c>
      <c r="O15" s="30">
        <v>347.76600000000002</v>
      </c>
      <c r="P15" s="31">
        <v>0.06</v>
      </c>
      <c r="Q15" s="30">
        <v>281.57</v>
      </c>
      <c r="R15" s="31">
        <v>5.0000887894447101E-2</v>
      </c>
      <c r="S15" s="30">
        <v>3</v>
      </c>
      <c r="T15" s="31">
        <v>5.3199035324159503E-4</v>
      </c>
      <c r="U15" s="30" t="s">
        <v>65</v>
      </c>
      <c r="V15" s="31"/>
      <c r="W15" s="30" t="s">
        <v>65</v>
      </c>
      <c r="X15" s="31"/>
      <c r="Y15" s="30" t="s">
        <v>65</v>
      </c>
      <c r="Z15" s="31"/>
      <c r="AA15" s="30" t="s">
        <v>65</v>
      </c>
      <c r="AB15" s="31"/>
      <c r="AC15" s="30" t="s">
        <v>65</v>
      </c>
      <c r="AD15" s="31"/>
      <c r="AE15" s="30" t="s">
        <v>65</v>
      </c>
      <c r="AF15" s="31"/>
      <c r="AG15" s="30" t="s">
        <v>65</v>
      </c>
      <c r="AH15" s="31"/>
      <c r="AI15" s="30" t="s">
        <v>65</v>
      </c>
      <c r="AJ15" s="31"/>
      <c r="AK15" s="30" t="s">
        <v>65</v>
      </c>
      <c r="AL15" s="31"/>
    </row>
    <row r="16" spans="1:38" x14ac:dyDescent="0.3">
      <c r="A16" s="10" t="s">
        <v>572</v>
      </c>
      <c r="B16" s="10"/>
      <c r="C16" s="30">
        <v>1533.38</v>
      </c>
      <c r="D16" s="31">
        <v>0.19000026020982799</v>
      </c>
      <c r="E16" s="30">
        <v>1228.5119999999999</v>
      </c>
      <c r="F16" s="31">
        <v>0.16</v>
      </c>
      <c r="G16" s="30">
        <v>791.98599999999999</v>
      </c>
      <c r="H16" s="31">
        <v>0.13</v>
      </c>
      <c r="I16" s="30">
        <v>913.654</v>
      </c>
      <c r="J16" s="31">
        <v>0.14000000000000001</v>
      </c>
      <c r="K16" s="30">
        <v>1081.95</v>
      </c>
      <c r="L16" s="31">
        <v>0.15</v>
      </c>
      <c r="M16" s="30">
        <v>976.08</v>
      </c>
      <c r="N16" s="31">
        <v>0.15</v>
      </c>
      <c r="O16" s="30">
        <v>753.49300000000005</v>
      </c>
      <c r="P16" s="31">
        <v>0.13</v>
      </c>
      <c r="Q16" s="30">
        <v>506.82</v>
      </c>
      <c r="R16" s="31">
        <v>9.0000532736668207E-2</v>
      </c>
      <c r="S16" s="30">
        <v>10</v>
      </c>
      <c r="T16" s="31">
        <v>1.77330117747198E-3</v>
      </c>
      <c r="U16" s="30" t="s">
        <v>65</v>
      </c>
      <c r="V16" s="31"/>
      <c r="W16" s="30" t="s">
        <v>65</v>
      </c>
      <c r="X16" s="31"/>
      <c r="Y16" s="30" t="s">
        <v>65</v>
      </c>
      <c r="Z16" s="31"/>
      <c r="AA16" s="30" t="s">
        <v>65</v>
      </c>
      <c r="AB16" s="31"/>
      <c r="AC16" s="30" t="s">
        <v>65</v>
      </c>
      <c r="AD16" s="31"/>
      <c r="AE16" s="30" t="s">
        <v>65</v>
      </c>
      <c r="AF16" s="31"/>
      <c r="AG16" s="30" t="s">
        <v>65</v>
      </c>
      <c r="AH16" s="31"/>
      <c r="AI16" s="30" t="s">
        <v>65</v>
      </c>
      <c r="AJ16" s="31"/>
      <c r="AK16" s="30" t="s">
        <v>65</v>
      </c>
      <c r="AL16" s="31"/>
    </row>
    <row r="17" spans="1:38" x14ac:dyDescent="0.3">
      <c r="A17" s="10" t="s">
        <v>573</v>
      </c>
      <c r="B17" s="10"/>
      <c r="C17" s="30">
        <v>807.04</v>
      </c>
      <c r="D17" s="31">
        <v>9.9999876090557993E-2</v>
      </c>
      <c r="E17" s="30">
        <v>767.82</v>
      </c>
      <c r="F17" s="31">
        <v>0.1</v>
      </c>
      <c r="G17" s="30">
        <v>731.06399999999996</v>
      </c>
      <c r="H17" s="31">
        <v>0.12</v>
      </c>
      <c r="I17" s="30">
        <v>783.13199999999995</v>
      </c>
      <c r="J17" s="31">
        <v>0.12</v>
      </c>
      <c r="K17" s="30">
        <v>793.43</v>
      </c>
      <c r="L17" s="31">
        <v>0.11</v>
      </c>
      <c r="M17" s="30">
        <v>780.86400000000003</v>
      </c>
      <c r="N17" s="31">
        <v>0.12</v>
      </c>
      <c r="O17" s="30">
        <v>811.45399999999995</v>
      </c>
      <c r="P17" s="31">
        <v>0.14000000000000001</v>
      </c>
      <c r="Q17" s="30">
        <v>1013.63</v>
      </c>
      <c r="R17" s="31">
        <v>0.17999928968444201</v>
      </c>
      <c r="S17" s="30">
        <v>18</v>
      </c>
      <c r="T17" s="31">
        <v>3.1919421194495702E-3</v>
      </c>
      <c r="U17" s="30" t="s">
        <v>65</v>
      </c>
      <c r="V17" s="31"/>
      <c r="W17" s="30" t="s">
        <v>65</v>
      </c>
      <c r="X17" s="31"/>
      <c r="Y17" s="30" t="s">
        <v>65</v>
      </c>
      <c r="Z17" s="31"/>
      <c r="AA17" s="30" t="s">
        <v>65</v>
      </c>
      <c r="AB17" s="31"/>
      <c r="AC17" s="30" t="s">
        <v>65</v>
      </c>
      <c r="AD17" s="31"/>
      <c r="AE17" s="30" t="s">
        <v>65</v>
      </c>
      <c r="AF17" s="31"/>
      <c r="AG17" s="30" t="s">
        <v>65</v>
      </c>
      <c r="AH17" s="31"/>
      <c r="AI17" s="30" t="s">
        <v>65</v>
      </c>
      <c r="AJ17" s="31"/>
      <c r="AK17" s="30" t="s">
        <v>65</v>
      </c>
      <c r="AL17" s="31"/>
    </row>
    <row r="18" spans="1:38" x14ac:dyDescent="0.3">
      <c r="A18" s="10" t="s">
        <v>574</v>
      </c>
      <c r="B18" s="10"/>
      <c r="C18" s="30">
        <v>2259.71</v>
      </c>
      <c r="D18" s="31">
        <v>0.27999940523467798</v>
      </c>
      <c r="E18" s="30">
        <v>1919.55</v>
      </c>
      <c r="F18" s="31">
        <v>0.25</v>
      </c>
      <c r="G18" s="30">
        <v>1279.3620000000001</v>
      </c>
      <c r="H18" s="31">
        <v>0.21</v>
      </c>
      <c r="I18" s="30">
        <v>1566.2639999999999</v>
      </c>
      <c r="J18" s="31">
        <v>0.24</v>
      </c>
      <c r="K18" s="30">
        <v>1875.38</v>
      </c>
      <c r="L18" s="31">
        <v>0.26</v>
      </c>
      <c r="M18" s="30">
        <v>2277.52</v>
      </c>
      <c r="N18" s="31">
        <v>0.35</v>
      </c>
      <c r="O18" s="30">
        <v>2434.3620000000001</v>
      </c>
      <c r="P18" s="31">
        <v>0.42</v>
      </c>
      <c r="Q18" s="30">
        <v>2252.52</v>
      </c>
      <c r="R18" s="31">
        <v>0.4</v>
      </c>
      <c r="S18" s="30">
        <v>40</v>
      </c>
      <c r="T18" s="31">
        <v>7.0932047098879302E-3</v>
      </c>
      <c r="U18" s="30" t="s">
        <v>65</v>
      </c>
      <c r="V18" s="31"/>
      <c r="W18" s="30" t="s">
        <v>65</v>
      </c>
      <c r="X18" s="31"/>
      <c r="Y18" s="30" t="s">
        <v>65</v>
      </c>
      <c r="Z18" s="31"/>
      <c r="AA18" s="30" t="s">
        <v>65</v>
      </c>
      <c r="AB18" s="31"/>
      <c r="AC18" s="30" t="s">
        <v>65</v>
      </c>
      <c r="AD18" s="31"/>
      <c r="AE18" s="30" t="s">
        <v>65</v>
      </c>
      <c r="AF18" s="31"/>
      <c r="AG18" s="30" t="s">
        <v>65</v>
      </c>
      <c r="AH18" s="31"/>
      <c r="AI18" s="30" t="s">
        <v>65</v>
      </c>
      <c r="AJ18" s="31"/>
      <c r="AK18" s="30" t="s">
        <v>65</v>
      </c>
      <c r="AL18" s="31"/>
    </row>
    <row r="19" spans="1:38" x14ac:dyDescent="0.3">
      <c r="A19" s="6" t="s">
        <v>575</v>
      </c>
      <c r="B19" s="6"/>
      <c r="C19" s="36" t="s">
        <v>65</v>
      </c>
      <c r="D19" s="37"/>
      <c r="E19" s="36" t="s">
        <v>65</v>
      </c>
      <c r="F19" s="37"/>
      <c r="G19" s="36" t="s">
        <v>65</v>
      </c>
      <c r="H19" s="37"/>
      <c r="I19" s="36" t="s">
        <v>65</v>
      </c>
      <c r="J19" s="37"/>
      <c r="K19" s="36" t="s">
        <v>65</v>
      </c>
      <c r="L19" s="37"/>
      <c r="M19" s="36" t="s">
        <v>65</v>
      </c>
      <c r="N19" s="37"/>
      <c r="O19" s="36" t="s">
        <v>65</v>
      </c>
      <c r="P19" s="37"/>
      <c r="Q19" s="36" t="s">
        <v>65</v>
      </c>
      <c r="R19" s="37"/>
      <c r="S19" s="36" t="s">
        <v>65</v>
      </c>
      <c r="T19" s="37"/>
      <c r="U19" s="36" t="s">
        <v>65</v>
      </c>
      <c r="V19" s="37"/>
      <c r="W19" s="36" t="s">
        <v>65</v>
      </c>
      <c r="X19" s="37"/>
      <c r="Y19" s="36" t="s">
        <v>65</v>
      </c>
      <c r="Z19" s="37"/>
      <c r="AA19" s="36" t="s">
        <v>65</v>
      </c>
      <c r="AB19" s="37"/>
      <c r="AC19" s="36" t="s">
        <v>65</v>
      </c>
      <c r="AD19" s="37"/>
      <c r="AE19" s="36" t="s">
        <v>65</v>
      </c>
      <c r="AF19" s="37"/>
      <c r="AG19" s="36" t="s">
        <v>65</v>
      </c>
      <c r="AH19" s="37"/>
      <c r="AI19" s="36" t="s">
        <v>65</v>
      </c>
      <c r="AJ19" s="37"/>
      <c r="AK19" s="36" t="s">
        <v>65</v>
      </c>
      <c r="AL19" s="37"/>
    </row>
    <row r="20" spans="1:38" x14ac:dyDescent="0.3">
      <c r="A20" s="10" t="s">
        <v>563</v>
      </c>
      <c r="B20" s="10"/>
      <c r="C20" s="32" t="s">
        <v>65</v>
      </c>
      <c r="D20" s="33"/>
      <c r="E20" s="32" t="s">
        <v>65</v>
      </c>
      <c r="F20" s="33"/>
      <c r="G20" s="32" t="s">
        <v>65</v>
      </c>
      <c r="H20" s="33"/>
      <c r="I20" s="32" t="s">
        <v>65</v>
      </c>
      <c r="J20" s="33"/>
      <c r="K20" s="32" t="s">
        <v>65</v>
      </c>
      <c r="L20" s="33"/>
      <c r="M20" s="32" t="s">
        <v>65</v>
      </c>
      <c r="N20" s="33"/>
      <c r="O20" s="32" t="s">
        <v>65</v>
      </c>
      <c r="P20" s="33"/>
      <c r="Q20" s="32" t="s">
        <v>65</v>
      </c>
      <c r="R20" s="33"/>
      <c r="S20" s="32" t="s">
        <v>65</v>
      </c>
      <c r="T20" s="33"/>
      <c r="U20" s="32" t="s">
        <v>65</v>
      </c>
      <c r="V20" s="33"/>
      <c r="W20" s="32">
        <v>68</v>
      </c>
      <c r="X20" s="33"/>
      <c r="Y20" s="32">
        <v>67</v>
      </c>
      <c r="Z20" s="33"/>
      <c r="AA20" s="32">
        <v>61</v>
      </c>
      <c r="AB20" s="33"/>
      <c r="AC20" s="32">
        <v>64</v>
      </c>
      <c r="AD20" s="33"/>
      <c r="AE20" s="32">
        <v>59</v>
      </c>
      <c r="AF20" s="33"/>
      <c r="AG20" s="32">
        <v>59</v>
      </c>
      <c r="AH20" s="33"/>
      <c r="AI20" s="32">
        <v>58</v>
      </c>
      <c r="AJ20" s="33"/>
      <c r="AK20" s="32">
        <v>67</v>
      </c>
      <c r="AL20" s="33"/>
    </row>
    <row r="21" spans="1:38" x14ac:dyDescent="0.3">
      <c r="A21" s="10" t="s">
        <v>564</v>
      </c>
      <c r="B21" s="10"/>
      <c r="C21" s="32" t="s">
        <v>65</v>
      </c>
      <c r="D21" s="33"/>
      <c r="E21" s="32" t="s">
        <v>65</v>
      </c>
      <c r="F21" s="33"/>
      <c r="G21" s="32" t="s">
        <v>65</v>
      </c>
      <c r="H21" s="33"/>
      <c r="I21" s="32" t="s">
        <v>65</v>
      </c>
      <c r="J21" s="33"/>
      <c r="K21" s="32" t="s">
        <v>65</v>
      </c>
      <c r="L21" s="33"/>
      <c r="M21" s="32" t="s">
        <v>65</v>
      </c>
      <c r="N21" s="33"/>
      <c r="O21" s="32" t="s">
        <v>65</v>
      </c>
      <c r="P21" s="33"/>
      <c r="Q21" s="32" t="s">
        <v>65</v>
      </c>
      <c r="R21" s="33"/>
      <c r="S21" s="32" t="s">
        <v>65</v>
      </c>
      <c r="T21" s="33"/>
      <c r="U21" s="32">
        <v>42</v>
      </c>
      <c r="V21" s="33"/>
      <c r="W21" s="32">
        <v>43</v>
      </c>
      <c r="X21" s="33"/>
      <c r="Y21" s="32">
        <v>41</v>
      </c>
      <c r="Z21" s="33"/>
      <c r="AA21" s="32">
        <v>40</v>
      </c>
      <c r="AB21" s="33"/>
      <c r="AC21" s="32">
        <v>42</v>
      </c>
      <c r="AD21" s="33"/>
      <c r="AE21" s="32">
        <v>40</v>
      </c>
      <c r="AF21" s="33"/>
      <c r="AG21" s="32">
        <v>40</v>
      </c>
      <c r="AH21" s="33"/>
      <c r="AI21" s="32">
        <v>33</v>
      </c>
      <c r="AJ21" s="33"/>
      <c r="AK21" s="32">
        <v>41</v>
      </c>
      <c r="AL21" s="33"/>
    </row>
    <row r="22" spans="1:38" x14ac:dyDescent="0.3">
      <c r="A22" s="10" t="s">
        <v>565</v>
      </c>
      <c r="B22" s="10"/>
      <c r="C22" s="32" t="s">
        <v>65</v>
      </c>
      <c r="D22" s="33"/>
      <c r="E22" s="32" t="s">
        <v>65</v>
      </c>
      <c r="F22" s="33"/>
      <c r="G22" s="32" t="s">
        <v>65</v>
      </c>
      <c r="H22" s="33"/>
      <c r="I22" s="32" t="s">
        <v>65</v>
      </c>
      <c r="J22" s="33"/>
      <c r="K22" s="32" t="s">
        <v>65</v>
      </c>
      <c r="L22" s="33"/>
      <c r="M22" s="32" t="s">
        <v>65</v>
      </c>
      <c r="N22" s="33"/>
      <c r="O22" s="32" t="s">
        <v>65</v>
      </c>
      <c r="P22" s="33"/>
      <c r="Q22" s="32" t="s">
        <v>65</v>
      </c>
      <c r="R22" s="33"/>
      <c r="S22" s="32" t="s">
        <v>65</v>
      </c>
      <c r="T22" s="33"/>
      <c r="U22" s="32">
        <v>26</v>
      </c>
      <c r="V22" s="33"/>
      <c r="W22" s="32">
        <v>25</v>
      </c>
      <c r="X22" s="33"/>
      <c r="Y22" s="32">
        <v>26</v>
      </c>
      <c r="Z22" s="33"/>
      <c r="AA22" s="32">
        <v>21</v>
      </c>
      <c r="AB22" s="33"/>
      <c r="AC22" s="32">
        <v>22</v>
      </c>
      <c r="AD22" s="33"/>
      <c r="AE22" s="32">
        <v>19</v>
      </c>
      <c r="AF22" s="33"/>
      <c r="AG22" s="32">
        <v>19</v>
      </c>
      <c r="AH22" s="33"/>
      <c r="AI22" s="32">
        <v>25</v>
      </c>
      <c r="AJ22" s="33"/>
      <c r="AK22" s="32">
        <v>26</v>
      </c>
      <c r="AL22" s="33"/>
    </row>
    <row r="23" spans="1:38" x14ac:dyDescent="0.3">
      <c r="A23" s="10" t="s">
        <v>566</v>
      </c>
      <c r="B23" s="10"/>
      <c r="C23" s="32" t="s">
        <v>65</v>
      </c>
      <c r="D23" s="33"/>
      <c r="E23" s="32" t="s">
        <v>65</v>
      </c>
      <c r="F23" s="33"/>
      <c r="G23" s="32" t="s">
        <v>65</v>
      </c>
      <c r="H23" s="33"/>
      <c r="I23" s="32" t="s">
        <v>65</v>
      </c>
      <c r="J23" s="33"/>
      <c r="K23" s="32" t="s">
        <v>65</v>
      </c>
      <c r="L23" s="33"/>
      <c r="M23" s="32" t="s">
        <v>65</v>
      </c>
      <c r="N23" s="33"/>
      <c r="O23" s="32" t="s">
        <v>65</v>
      </c>
      <c r="P23" s="33"/>
      <c r="Q23" s="32" t="s">
        <v>65</v>
      </c>
      <c r="R23" s="33"/>
      <c r="S23" s="32" t="s">
        <v>65</v>
      </c>
      <c r="T23" s="33"/>
      <c r="U23" s="32">
        <v>32</v>
      </c>
      <c r="V23" s="33"/>
      <c r="W23" s="32">
        <v>32</v>
      </c>
      <c r="X23" s="33"/>
      <c r="Y23" s="32">
        <v>33</v>
      </c>
      <c r="Z23" s="33"/>
      <c r="AA23" s="32">
        <v>39</v>
      </c>
      <c r="AB23" s="33"/>
      <c r="AC23" s="32">
        <v>36</v>
      </c>
      <c r="AD23" s="33"/>
      <c r="AE23" s="32">
        <v>41</v>
      </c>
      <c r="AF23" s="33"/>
      <c r="AG23" s="32">
        <v>41</v>
      </c>
      <c r="AH23" s="33"/>
      <c r="AI23" s="32">
        <v>42</v>
      </c>
      <c r="AJ23" s="33"/>
      <c r="AK23" s="32">
        <v>33</v>
      </c>
      <c r="AL23" s="33"/>
    </row>
    <row r="24" spans="1:38" x14ac:dyDescent="0.3">
      <c r="A24" s="10" t="s">
        <v>568</v>
      </c>
      <c r="B24" s="10"/>
      <c r="C24" s="32" t="s">
        <v>65</v>
      </c>
      <c r="D24" s="33"/>
      <c r="E24" s="32" t="s">
        <v>65</v>
      </c>
      <c r="F24" s="33"/>
      <c r="G24" s="32" t="s">
        <v>65</v>
      </c>
      <c r="H24" s="33"/>
      <c r="I24" s="32" t="s">
        <v>65</v>
      </c>
      <c r="J24" s="33"/>
      <c r="K24" s="32" t="s">
        <v>65</v>
      </c>
      <c r="L24" s="33"/>
      <c r="M24" s="32" t="s">
        <v>65</v>
      </c>
      <c r="N24" s="33"/>
      <c r="O24" s="32" t="s">
        <v>65</v>
      </c>
      <c r="P24" s="33"/>
      <c r="Q24" s="32" t="s">
        <v>65</v>
      </c>
      <c r="R24" s="33"/>
      <c r="S24" s="32" t="s">
        <v>65</v>
      </c>
      <c r="T24" s="33"/>
      <c r="U24" s="32">
        <v>100</v>
      </c>
      <c r="V24" s="33"/>
      <c r="W24" s="32" t="s">
        <v>65</v>
      </c>
      <c r="X24" s="33"/>
      <c r="Y24" s="32" t="s">
        <v>65</v>
      </c>
      <c r="Z24" s="33"/>
      <c r="AA24" s="32" t="s">
        <v>65</v>
      </c>
      <c r="AB24" s="33"/>
      <c r="AC24" s="32" t="s">
        <v>65</v>
      </c>
      <c r="AD24" s="33"/>
      <c r="AE24" s="32" t="s">
        <v>65</v>
      </c>
      <c r="AF24" s="33"/>
      <c r="AG24" s="32" t="s">
        <v>65</v>
      </c>
      <c r="AH24" s="33"/>
      <c r="AI24" s="32" t="s">
        <v>65</v>
      </c>
      <c r="AJ24" s="33"/>
      <c r="AK24" s="32" t="s">
        <v>65</v>
      </c>
      <c r="AL24" s="33"/>
    </row>
    <row r="25" spans="1:38" x14ac:dyDescent="0.3">
      <c r="A25" s="6" t="s">
        <v>240</v>
      </c>
      <c r="B25" s="6"/>
      <c r="C25" s="36" t="s">
        <v>65</v>
      </c>
      <c r="D25" s="37"/>
      <c r="E25" s="36" t="s">
        <v>65</v>
      </c>
      <c r="F25" s="37"/>
      <c r="G25" s="36" t="s">
        <v>65</v>
      </c>
      <c r="H25" s="37"/>
      <c r="I25" s="36" t="s">
        <v>65</v>
      </c>
      <c r="J25" s="37"/>
      <c r="K25" s="36" t="s">
        <v>65</v>
      </c>
      <c r="L25" s="37"/>
      <c r="M25" s="36" t="s">
        <v>65</v>
      </c>
      <c r="N25" s="37"/>
      <c r="O25" s="36" t="s">
        <v>65</v>
      </c>
      <c r="P25" s="37"/>
      <c r="Q25" s="36" t="s">
        <v>65</v>
      </c>
      <c r="R25" s="37"/>
      <c r="S25" s="36" t="s">
        <v>65</v>
      </c>
      <c r="T25" s="37"/>
      <c r="U25" s="36" t="s">
        <v>65</v>
      </c>
      <c r="V25" s="37"/>
      <c r="W25" s="36" t="s">
        <v>65</v>
      </c>
      <c r="X25" s="37"/>
      <c r="Y25" s="36" t="s">
        <v>65</v>
      </c>
      <c r="Z25" s="37"/>
      <c r="AA25" s="36" t="s">
        <v>65</v>
      </c>
      <c r="AB25" s="37"/>
      <c r="AC25" s="36" t="s">
        <v>65</v>
      </c>
      <c r="AD25" s="37"/>
      <c r="AE25" s="36" t="s">
        <v>65</v>
      </c>
      <c r="AF25" s="37"/>
      <c r="AG25" s="36" t="s">
        <v>65</v>
      </c>
      <c r="AH25" s="37"/>
      <c r="AI25" s="36" t="s">
        <v>65</v>
      </c>
      <c r="AJ25" s="37"/>
      <c r="AK25" s="36" t="s">
        <v>65</v>
      </c>
      <c r="AL25" s="37"/>
    </row>
    <row r="26" spans="1:38" x14ac:dyDescent="0.3">
      <c r="A26" s="10" t="s">
        <v>563</v>
      </c>
      <c r="B26" s="10"/>
      <c r="C26" s="32" t="s">
        <v>65</v>
      </c>
      <c r="D26" s="33"/>
      <c r="E26" s="32" t="s">
        <v>65</v>
      </c>
      <c r="F26" s="33"/>
      <c r="G26" s="32" t="s">
        <v>65</v>
      </c>
      <c r="H26" s="33"/>
      <c r="I26" s="32" t="s">
        <v>65</v>
      </c>
      <c r="J26" s="33"/>
      <c r="K26" s="32" t="s">
        <v>65</v>
      </c>
      <c r="L26" s="33"/>
      <c r="M26" s="32" t="s">
        <v>65</v>
      </c>
      <c r="N26" s="33"/>
      <c r="O26" s="32" t="s">
        <v>65</v>
      </c>
      <c r="P26" s="33"/>
      <c r="Q26" s="32" t="s">
        <v>65</v>
      </c>
      <c r="R26" s="33"/>
      <c r="S26" s="32" t="s">
        <v>65</v>
      </c>
      <c r="T26" s="33"/>
      <c r="U26" s="32" t="s">
        <v>65</v>
      </c>
      <c r="V26" s="33"/>
      <c r="W26" s="32">
        <v>2.9</v>
      </c>
      <c r="X26" s="33"/>
      <c r="Y26" s="32">
        <v>2.5</v>
      </c>
      <c r="Z26" s="33"/>
      <c r="AA26" s="32">
        <v>2.6</v>
      </c>
      <c r="AB26" s="33"/>
      <c r="AC26" s="32">
        <v>3.5</v>
      </c>
      <c r="AD26" s="33"/>
      <c r="AE26" s="32">
        <v>3.9</v>
      </c>
      <c r="AF26" s="33"/>
      <c r="AG26" s="32">
        <v>5.0999999999999996</v>
      </c>
      <c r="AH26" s="33"/>
      <c r="AI26" s="32">
        <v>6.2</v>
      </c>
      <c r="AJ26" s="33"/>
      <c r="AK26" s="32">
        <v>7.4</v>
      </c>
      <c r="AL26" s="33"/>
    </row>
    <row r="27" spans="1:38" x14ac:dyDescent="0.3">
      <c r="A27" s="10" t="s">
        <v>566</v>
      </c>
      <c r="B27" s="10"/>
      <c r="C27" s="32" t="s">
        <v>65</v>
      </c>
      <c r="D27" s="33"/>
      <c r="E27" s="32" t="s">
        <v>65</v>
      </c>
      <c r="F27" s="33"/>
      <c r="G27" s="32" t="s">
        <v>65</v>
      </c>
      <c r="H27" s="33"/>
      <c r="I27" s="32" t="s">
        <v>65</v>
      </c>
      <c r="J27" s="33"/>
      <c r="K27" s="32" t="s">
        <v>65</v>
      </c>
      <c r="L27" s="33"/>
      <c r="M27" s="32" t="s">
        <v>65</v>
      </c>
      <c r="N27" s="33"/>
      <c r="O27" s="32" t="s">
        <v>65</v>
      </c>
      <c r="P27" s="33"/>
      <c r="Q27" s="32" t="s">
        <v>65</v>
      </c>
      <c r="R27" s="33"/>
      <c r="S27" s="32" t="s">
        <v>65</v>
      </c>
      <c r="T27" s="33"/>
      <c r="U27" s="32" t="s">
        <v>65</v>
      </c>
      <c r="V27" s="33"/>
      <c r="W27" s="32">
        <v>4.9000000000000004</v>
      </c>
      <c r="X27" s="33"/>
      <c r="Y27" s="32">
        <v>4.5999999999999996</v>
      </c>
      <c r="Z27" s="33"/>
      <c r="AA27" s="32">
        <v>2.8</v>
      </c>
      <c r="AB27" s="33"/>
      <c r="AC27" s="32">
        <v>3.3</v>
      </c>
      <c r="AD27" s="33"/>
      <c r="AE27" s="32">
        <v>4.5</v>
      </c>
      <c r="AF27" s="33"/>
      <c r="AG27" s="32">
        <v>4.7</v>
      </c>
      <c r="AH27" s="33"/>
      <c r="AI27" s="32">
        <v>4.7</v>
      </c>
      <c r="AJ27" s="33"/>
      <c r="AK27" s="32">
        <v>4.5999999999999996</v>
      </c>
      <c r="AL27" s="33"/>
    </row>
    <row r="28" spans="1:38" x14ac:dyDescent="0.3">
      <c r="A28" s="6" t="s">
        <v>576</v>
      </c>
      <c r="B28" s="6"/>
      <c r="C28" s="34" t="s">
        <v>65</v>
      </c>
      <c r="D28" s="35"/>
      <c r="E28" s="34" t="s">
        <v>65</v>
      </c>
      <c r="F28" s="35"/>
      <c r="G28" s="34" t="s">
        <v>65</v>
      </c>
      <c r="H28" s="35"/>
      <c r="I28" s="34" t="s">
        <v>65</v>
      </c>
      <c r="J28" s="35"/>
      <c r="K28" s="34" t="s">
        <v>65</v>
      </c>
      <c r="L28" s="35"/>
      <c r="M28" s="34" t="s">
        <v>65</v>
      </c>
      <c r="N28" s="35"/>
      <c r="O28" s="34" t="s">
        <v>65</v>
      </c>
      <c r="P28" s="35"/>
      <c r="Q28" s="34" t="s">
        <v>65</v>
      </c>
      <c r="R28" s="35"/>
      <c r="S28" s="34" t="s">
        <v>65</v>
      </c>
      <c r="T28" s="35"/>
      <c r="U28" s="34" t="s">
        <v>65</v>
      </c>
      <c r="V28" s="35"/>
      <c r="W28" s="34">
        <v>217.2</v>
      </c>
      <c r="X28" s="35">
        <v>1</v>
      </c>
      <c r="Y28" s="34">
        <v>213.9</v>
      </c>
      <c r="Z28" s="35">
        <v>1</v>
      </c>
      <c r="AA28" s="34">
        <v>158.1</v>
      </c>
      <c r="AB28" s="35">
        <v>1</v>
      </c>
      <c r="AC28" s="34">
        <v>199</v>
      </c>
      <c r="AD28" s="35">
        <v>1</v>
      </c>
      <c r="AE28" s="34">
        <v>233.9</v>
      </c>
      <c r="AF28" s="35">
        <v>1</v>
      </c>
      <c r="AG28" s="34">
        <v>357.9</v>
      </c>
      <c r="AH28" s="35">
        <v>1</v>
      </c>
      <c r="AI28" s="34">
        <v>441.6</v>
      </c>
      <c r="AJ28" s="35">
        <v>1</v>
      </c>
      <c r="AK28" s="34">
        <v>622.6</v>
      </c>
      <c r="AL28" s="35">
        <v>1</v>
      </c>
    </row>
    <row r="29" spans="1:38" x14ac:dyDescent="0.3">
      <c r="A29" s="10" t="s">
        <v>563</v>
      </c>
      <c r="B29" s="10"/>
      <c r="C29" s="30" t="s">
        <v>65</v>
      </c>
      <c r="D29" s="31"/>
      <c r="E29" s="30" t="s">
        <v>65</v>
      </c>
      <c r="F29" s="31"/>
      <c r="G29" s="30" t="s">
        <v>65</v>
      </c>
      <c r="H29" s="31"/>
      <c r="I29" s="30" t="s">
        <v>65</v>
      </c>
      <c r="J29" s="31"/>
      <c r="K29" s="30" t="s">
        <v>65</v>
      </c>
      <c r="L29" s="31"/>
      <c r="M29" s="30" t="s">
        <v>65</v>
      </c>
      <c r="N29" s="31"/>
      <c r="O29" s="30" t="s">
        <v>65</v>
      </c>
      <c r="P29" s="31"/>
      <c r="Q29" s="30" t="s">
        <v>65</v>
      </c>
      <c r="R29" s="31"/>
      <c r="S29" s="30" t="s">
        <v>65</v>
      </c>
      <c r="T29" s="31"/>
      <c r="U29" s="30" t="s">
        <v>65</v>
      </c>
      <c r="V29" s="31"/>
      <c r="W29" s="30">
        <v>120.4</v>
      </c>
      <c r="X29" s="31">
        <v>0.55432780847145502</v>
      </c>
      <c r="Y29" s="30">
        <v>111.4</v>
      </c>
      <c r="Z29" s="31">
        <v>0.520804114071996</v>
      </c>
      <c r="AA29" s="30">
        <v>93.9</v>
      </c>
      <c r="AB29" s="31">
        <v>0.59392789373814003</v>
      </c>
      <c r="AC29" s="30">
        <v>129.30000000000001</v>
      </c>
      <c r="AD29" s="31">
        <v>0.64974874371859304</v>
      </c>
      <c r="AE29" s="30">
        <v>128.9</v>
      </c>
      <c r="AF29" s="31">
        <v>0.55109020949123599</v>
      </c>
      <c r="AG29" s="30">
        <v>217.6</v>
      </c>
      <c r="AH29" s="31">
        <v>0.60799105895501504</v>
      </c>
      <c r="AI29" s="30">
        <v>286.60000000000002</v>
      </c>
      <c r="AJ29" s="31">
        <v>0.64900362318840599</v>
      </c>
      <c r="AK29" s="30">
        <v>478.5</v>
      </c>
      <c r="AL29" s="31">
        <v>0.76855123674911696</v>
      </c>
    </row>
    <row r="30" spans="1:38" x14ac:dyDescent="0.3">
      <c r="A30" s="10" t="s">
        <v>566</v>
      </c>
      <c r="B30" s="10"/>
      <c r="C30" s="30" t="s">
        <v>65</v>
      </c>
      <c r="D30" s="31"/>
      <c r="E30" s="30" t="s">
        <v>65</v>
      </c>
      <c r="F30" s="31"/>
      <c r="G30" s="30" t="s">
        <v>65</v>
      </c>
      <c r="H30" s="31"/>
      <c r="I30" s="30" t="s">
        <v>65</v>
      </c>
      <c r="J30" s="31"/>
      <c r="K30" s="30" t="s">
        <v>65</v>
      </c>
      <c r="L30" s="31"/>
      <c r="M30" s="30" t="s">
        <v>65</v>
      </c>
      <c r="N30" s="31"/>
      <c r="O30" s="30" t="s">
        <v>65</v>
      </c>
      <c r="P30" s="31"/>
      <c r="Q30" s="30" t="s">
        <v>65</v>
      </c>
      <c r="R30" s="31"/>
      <c r="S30" s="30" t="s">
        <v>65</v>
      </c>
      <c r="T30" s="31"/>
      <c r="U30" s="30" t="s">
        <v>65</v>
      </c>
      <c r="V30" s="31"/>
      <c r="W30" s="30">
        <v>96.8</v>
      </c>
      <c r="X30" s="31">
        <v>0.44567219152854498</v>
      </c>
      <c r="Y30" s="30">
        <v>102.5</v>
      </c>
      <c r="Z30" s="31">
        <v>0.479195885928004</v>
      </c>
      <c r="AA30" s="30">
        <v>64.2</v>
      </c>
      <c r="AB30" s="31">
        <v>0.40607210626186002</v>
      </c>
      <c r="AC30" s="30">
        <v>69.7</v>
      </c>
      <c r="AD30" s="31">
        <v>0.35025125628140702</v>
      </c>
      <c r="AE30" s="30">
        <v>105</v>
      </c>
      <c r="AF30" s="31">
        <v>0.44890979050876401</v>
      </c>
      <c r="AG30" s="30">
        <v>140.30000000000001</v>
      </c>
      <c r="AH30" s="31">
        <v>0.39200894104498502</v>
      </c>
      <c r="AI30" s="30">
        <v>155</v>
      </c>
      <c r="AJ30" s="31">
        <v>0.35099637681159401</v>
      </c>
      <c r="AK30" s="30">
        <v>144.1</v>
      </c>
      <c r="AL30" s="31">
        <v>0.23144876325088301</v>
      </c>
    </row>
    <row r="31" spans="1:38" x14ac:dyDescent="0.3">
      <c r="A31" s="7" t="s">
        <v>90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6" spans="29:38" x14ac:dyDescent="0.3">
      <c r="AC36" s="38"/>
      <c r="AD36" s="38"/>
      <c r="AE36" s="38"/>
      <c r="AF36" s="38"/>
      <c r="AG36" s="38"/>
      <c r="AH36" s="39"/>
      <c r="AI36" s="38"/>
      <c r="AJ36" s="39"/>
      <c r="AK36" s="38"/>
      <c r="AL36" s="3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3"/>
  <sheetViews>
    <sheetView zoomScale="79" zoomScaleNormal="76" workbookViewId="0">
      <selection activeCell="A13" sqref="A13"/>
    </sheetView>
  </sheetViews>
  <sheetFormatPr defaultRowHeight="14.4" x14ac:dyDescent="0.3"/>
  <cols>
    <col min="1" max="1" width="35.109375" customWidth="1"/>
    <col min="2" max="2" width="0" hidden="1" customWidth="1"/>
    <col min="3" max="34" width="8" bestFit="1" customWidth="1"/>
  </cols>
  <sheetData>
    <row r="1" spans="1:3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" x14ac:dyDescent="0.3">
      <c r="A2" s="8" t="s">
        <v>577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x14ac:dyDescent="0.3">
      <c r="A4" s="3" t="s">
        <v>1</v>
      </c>
      <c r="B4" s="3"/>
      <c r="C4" s="28" t="s">
        <v>257</v>
      </c>
      <c r="D4" s="28"/>
      <c r="E4" s="28" t="s">
        <v>258</v>
      </c>
      <c r="F4" s="28"/>
      <c r="G4" s="28" t="s">
        <v>259</v>
      </c>
      <c r="H4" s="28"/>
      <c r="I4" s="28" t="s">
        <v>2</v>
      </c>
      <c r="J4" s="28"/>
      <c r="K4" s="28" t="s">
        <v>3</v>
      </c>
      <c r="L4" s="28"/>
      <c r="M4" s="28" t="s">
        <v>4</v>
      </c>
      <c r="N4" s="28"/>
      <c r="O4" s="28" t="s">
        <v>5</v>
      </c>
      <c r="P4" s="28"/>
      <c r="Q4" s="28" t="s">
        <v>6</v>
      </c>
      <c r="R4" s="28"/>
      <c r="S4" s="28" t="s">
        <v>7</v>
      </c>
      <c r="T4" s="28"/>
      <c r="U4" s="28" t="s">
        <v>8</v>
      </c>
      <c r="V4" s="28"/>
      <c r="W4" s="28" t="s">
        <v>9</v>
      </c>
      <c r="X4" s="28"/>
      <c r="Y4" s="28" t="s">
        <v>10</v>
      </c>
      <c r="Z4" s="28"/>
      <c r="AA4" s="28" t="s">
        <v>11</v>
      </c>
      <c r="AB4" s="28"/>
      <c r="AC4" s="28" t="s">
        <v>12</v>
      </c>
      <c r="AD4" s="28"/>
      <c r="AE4" s="28" t="s">
        <v>13</v>
      </c>
      <c r="AF4" s="28"/>
      <c r="AG4" s="28" t="s">
        <v>14</v>
      </c>
      <c r="AH4" s="28"/>
    </row>
    <row r="5" spans="1:34" x14ac:dyDescent="0.3">
      <c r="A5" s="9" t="s">
        <v>20</v>
      </c>
      <c r="B5" s="9"/>
      <c r="C5" s="29" t="s">
        <v>260</v>
      </c>
      <c r="D5" s="29"/>
      <c r="E5" s="29" t="s">
        <v>261</v>
      </c>
      <c r="F5" s="29"/>
      <c r="G5" s="29" t="s">
        <v>262</v>
      </c>
      <c r="H5" s="29"/>
      <c r="I5" s="29" t="s">
        <v>21</v>
      </c>
      <c r="J5" s="29"/>
      <c r="K5" s="29" t="s">
        <v>22</v>
      </c>
      <c r="L5" s="29"/>
      <c r="M5" s="29" t="s">
        <v>23</v>
      </c>
      <c r="N5" s="29"/>
      <c r="O5" s="29" t="s">
        <v>24</v>
      </c>
      <c r="P5" s="29"/>
      <c r="Q5" s="29" t="s">
        <v>25</v>
      </c>
      <c r="R5" s="29"/>
      <c r="S5" s="29" t="s">
        <v>26</v>
      </c>
      <c r="T5" s="29"/>
      <c r="U5" s="29" t="s">
        <v>27</v>
      </c>
      <c r="V5" s="29"/>
      <c r="W5" s="29" t="s">
        <v>28</v>
      </c>
      <c r="X5" s="29"/>
      <c r="Y5" s="29" t="s">
        <v>29</v>
      </c>
      <c r="Z5" s="29"/>
      <c r="AA5" s="29" t="s">
        <v>30</v>
      </c>
      <c r="AB5" s="29"/>
      <c r="AC5" s="29" t="s">
        <v>31</v>
      </c>
      <c r="AD5" s="29"/>
      <c r="AE5" s="29" t="s">
        <v>32</v>
      </c>
      <c r="AF5" s="29"/>
      <c r="AG5" s="29" t="s">
        <v>33</v>
      </c>
      <c r="AH5" s="29"/>
    </row>
    <row r="6" spans="1:34" x14ac:dyDescent="0.3">
      <c r="A6" s="6" t="s">
        <v>144</v>
      </c>
      <c r="B6" s="6"/>
      <c r="C6" s="34">
        <v>8070.41</v>
      </c>
      <c r="D6" s="35">
        <v>1</v>
      </c>
      <c r="E6" s="34">
        <v>7678.21</v>
      </c>
      <c r="F6" s="35">
        <v>1</v>
      </c>
      <c r="G6" s="34">
        <v>6092.2020000000002</v>
      </c>
      <c r="H6" s="35">
        <v>1</v>
      </c>
      <c r="I6" s="34">
        <v>6526.1</v>
      </c>
      <c r="J6" s="35">
        <v>1</v>
      </c>
      <c r="K6" s="34">
        <v>7213</v>
      </c>
      <c r="L6" s="35">
        <v>1</v>
      </c>
      <c r="M6" s="34">
        <v>6507.2</v>
      </c>
      <c r="N6" s="35">
        <v>1</v>
      </c>
      <c r="O6" s="34">
        <v>5796.1</v>
      </c>
      <c r="P6" s="35">
        <v>1</v>
      </c>
      <c r="Q6" s="34">
        <v>5631.3</v>
      </c>
      <c r="R6" s="35">
        <v>1</v>
      </c>
      <c r="S6" s="34">
        <v>5639.2</v>
      </c>
      <c r="T6" s="35">
        <v>1</v>
      </c>
      <c r="U6" s="34">
        <v>6016.5</v>
      </c>
      <c r="V6" s="35">
        <v>1</v>
      </c>
      <c r="W6" s="34">
        <v>6142.7</v>
      </c>
      <c r="X6" s="35">
        <v>1</v>
      </c>
      <c r="Y6" s="34">
        <v>6633.2</v>
      </c>
      <c r="Z6" s="35">
        <v>1</v>
      </c>
      <c r="AA6" s="34">
        <v>5888.3</v>
      </c>
      <c r="AB6" s="35">
        <v>1</v>
      </c>
      <c r="AC6" s="34">
        <v>5748.1</v>
      </c>
      <c r="AD6" s="35">
        <v>1</v>
      </c>
      <c r="AE6" s="34">
        <v>5634.7</v>
      </c>
      <c r="AF6" s="35">
        <v>1</v>
      </c>
      <c r="AG6" s="34">
        <v>7250</v>
      </c>
      <c r="AH6" s="35">
        <v>1</v>
      </c>
    </row>
    <row r="7" spans="1:34" x14ac:dyDescent="0.3">
      <c r="A7" s="10" t="s">
        <v>578</v>
      </c>
      <c r="B7" s="10"/>
      <c r="C7" s="30" t="s">
        <v>65</v>
      </c>
      <c r="D7" s="31"/>
      <c r="E7" s="30" t="s">
        <v>65</v>
      </c>
      <c r="F7" s="31"/>
      <c r="G7" s="30" t="s">
        <v>65</v>
      </c>
      <c r="H7" s="31"/>
      <c r="I7" s="30" t="s">
        <v>65</v>
      </c>
      <c r="J7" s="31"/>
      <c r="K7" s="30" t="s">
        <v>65</v>
      </c>
      <c r="L7" s="31"/>
      <c r="M7" s="30" t="s">
        <v>65</v>
      </c>
      <c r="N7" s="31"/>
      <c r="O7" s="30">
        <v>637.57100000000003</v>
      </c>
      <c r="P7" s="31">
        <v>0.11</v>
      </c>
      <c r="Q7" s="30" t="s">
        <v>65</v>
      </c>
      <c r="R7" s="31"/>
      <c r="S7" s="30" t="s">
        <v>65</v>
      </c>
      <c r="T7" s="31"/>
      <c r="U7" s="30" t="s">
        <v>65</v>
      </c>
      <c r="V7" s="31"/>
      <c r="W7" s="30" t="s">
        <v>65</v>
      </c>
      <c r="X7" s="31"/>
      <c r="Y7" s="30" t="s">
        <v>65</v>
      </c>
      <c r="Z7" s="31"/>
      <c r="AA7" s="30" t="s">
        <v>65</v>
      </c>
      <c r="AB7" s="31"/>
      <c r="AC7" s="30" t="s">
        <v>65</v>
      </c>
      <c r="AD7" s="31"/>
      <c r="AE7" s="30" t="s">
        <v>65</v>
      </c>
      <c r="AF7" s="31"/>
      <c r="AG7" s="30" t="s">
        <v>65</v>
      </c>
      <c r="AH7" s="31"/>
    </row>
    <row r="8" spans="1:34" x14ac:dyDescent="0.3">
      <c r="A8" s="10" t="s">
        <v>579</v>
      </c>
      <c r="B8" s="10"/>
      <c r="C8" s="30">
        <v>968.45</v>
      </c>
      <c r="D8" s="31">
        <v>0.12000009912755399</v>
      </c>
      <c r="E8" s="30">
        <v>844.6</v>
      </c>
      <c r="F8" s="31">
        <v>0.109999596260066</v>
      </c>
      <c r="G8" s="30" t="s">
        <v>65</v>
      </c>
      <c r="H8" s="31"/>
      <c r="I8" s="30" t="s">
        <v>65</v>
      </c>
      <c r="J8" s="31"/>
      <c r="K8" s="30" t="s">
        <v>65</v>
      </c>
      <c r="L8" s="31"/>
      <c r="M8" s="30" t="s">
        <v>65</v>
      </c>
      <c r="N8" s="31"/>
      <c r="O8" s="30" t="s">
        <v>65</v>
      </c>
      <c r="P8" s="31"/>
      <c r="Q8" s="30" t="s">
        <v>65</v>
      </c>
      <c r="R8" s="31"/>
      <c r="S8" s="30" t="s">
        <v>65</v>
      </c>
      <c r="T8" s="31"/>
      <c r="U8" s="30" t="s">
        <v>65</v>
      </c>
      <c r="V8" s="31"/>
      <c r="W8" s="30" t="s">
        <v>65</v>
      </c>
      <c r="X8" s="31"/>
      <c r="Y8" s="30" t="s">
        <v>65</v>
      </c>
      <c r="Z8" s="31"/>
      <c r="AA8" s="30" t="s">
        <v>65</v>
      </c>
      <c r="AB8" s="31"/>
      <c r="AC8" s="30" t="s">
        <v>65</v>
      </c>
      <c r="AD8" s="31"/>
      <c r="AE8" s="30" t="s">
        <v>65</v>
      </c>
      <c r="AF8" s="31"/>
      <c r="AG8" s="30" t="s">
        <v>65</v>
      </c>
      <c r="AH8" s="31"/>
    </row>
    <row r="9" spans="1:34" x14ac:dyDescent="0.3">
      <c r="A9" s="10" t="s">
        <v>580</v>
      </c>
      <c r="B9" s="10"/>
      <c r="C9" s="30" t="s">
        <v>65</v>
      </c>
      <c r="D9" s="31"/>
      <c r="E9" s="30" t="s">
        <v>65</v>
      </c>
      <c r="F9" s="31"/>
      <c r="G9" s="30" t="s">
        <v>65</v>
      </c>
      <c r="H9" s="31"/>
      <c r="I9" s="30">
        <v>717.87099999999998</v>
      </c>
      <c r="J9" s="31">
        <v>0.11</v>
      </c>
      <c r="K9" s="30">
        <v>2091.77</v>
      </c>
      <c r="L9" s="31">
        <v>0.28999999999999998</v>
      </c>
      <c r="M9" s="30">
        <v>780.86400000000003</v>
      </c>
      <c r="N9" s="31">
        <v>0.12</v>
      </c>
      <c r="O9" s="30" t="s">
        <v>65</v>
      </c>
      <c r="P9" s="31"/>
      <c r="Q9" s="30">
        <v>788.38199999999995</v>
      </c>
      <c r="R9" s="31">
        <v>0.14000000000000001</v>
      </c>
      <c r="S9" s="30">
        <v>789.5</v>
      </c>
      <c r="T9" s="31">
        <v>0.14000212796141301</v>
      </c>
      <c r="U9" s="30">
        <v>782.14499999999998</v>
      </c>
      <c r="V9" s="31">
        <v>0.13</v>
      </c>
      <c r="W9" s="30">
        <v>737.12400000000002</v>
      </c>
      <c r="X9" s="31">
        <v>0.12</v>
      </c>
      <c r="Y9" s="30">
        <v>725.59199999999998</v>
      </c>
      <c r="Z9" s="31">
        <v>0.109387927395526</v>
      </c>
      <c r="AA9" s="30">
        <v>706.59</v>
      </c>
      <c r="AB9" s="31">
        <v>0.119998981030178</v>
      </c>
      <c r="AC9" s="30">
        <v>574.80999999999995</v>
      </c>
      <c r="AD9" s="31">
        <v>0.1</v>
      </c>
      <c r="AE9" s="30">
        <v>732.51099999999997</v>
      </c>
      <c r="AF9" s="31">
        <v>0.13</v>
      </c>
      <c r="AG9" s="30">
        <v>870</v>
      </c>
      <c r="AH9" s="31">
        <v>0.12</v>
      </c>
    </row>
    <row r="10" spans="1:34" x14ac:dyDescent="0.3">
      <c r="A10" s="10" t="s">
        <v>581</v>
      </c>
      <c r="B10" s="10"/>
      <c r="C10" s="30">
        <v>1452.67</v>
      </c>
      <c r="D10" s="31">
        <v>0.17999952914412001</v>
      </c>
      <c r="E10" s="30">
        <v>1458.86</v>
      </c>
      <c r="F10" s="31">
        <v>0.19000001302386901</v>
      </c>
      <c r="G10" s="30">
        <v>974.75199999999995</v>
      </c>
      <c r="H10" s="31">
        <v>0.159999947473836</v>
      </c>
      <c r="I10" s="30">
        <v>913.654</v>
      </c>
      <c r="J10" s="31">
        <v>0.14000000000000001</v>
      </c>
      <c r="K10" s="30">
        <v>1009.82</v>
      </c>
      <c r="L10" s="31">
        <v>0.14000000000000001</v>
      </c>
      <c r="M10" s="30">
        <v>1106.2239999999999</v>
      </c>
      <c r="N10" s="31">
        <v>0.17</v>
      </c>
      <c r="O10" s="30">
        <v>811.45399999999995</v>
      </c>
      <c r="P10" s="31">
        <v>0.14000000000000001</v>
      </c>
      <c r="Q10" s="30">
        <v>1295.1990000000001</v>
      </c>
      <c r="R10" s="31">
        <v>0.23</v>
      </c>
      <c r="S10" s="30">
        <v>1297</v>
      </c>
      <c r="T10" s="31">
        <v>0.22999716271811599</v>
      </c>
      <c r="U10" s="30">
        <v>1263.4649999999999</v>
      </c>
      <c r="V10" s="31">
        <v>0.21</v>
      </c>
      <c r="W10" s="30">
        <v>1289.9670000000001</v>
      </c>
      <c r="X10" s="31">
        <v>0.21</v>
      </c>
      <c r="Y10" s="30">
        <v>1209.32</v>
      </c>
      <c r="Z10" s="31">
        <v>0.182313212325876</v>
      </c>
      <c r="AA10" s="30">
        <v>1059.8900000000001</v>
      </c>
      <c r="AB10" s="31">
        <v>0.17999932068678601</v>
      </c>
      <c r="AC10" s="30">
        <v>1149.6199999999999</v>
      </c>
      <c r="AD10" s="31">
        <v>0.2</v>
      </c>
      <c r="AE10" s="30">
        <v>901.55200000000002</v>
      </c>
      <c r="AF10" s="31">
        <v>0.16</v>
      </c>
      <c r="AG10" s="30">
        <v>797.5</v>
      </c>
      <c r="AH10" s="31">
        <v>0.11</v>
      </c>
    </row>
    <row r="11" spans="1:34" x14ac:dyDescent="0.3">
      <c r="A11" s="10" t="s">
        <v>582</v>
      </c>
      <c r="B11" s="10"/>
      <c r="C11" s="30">
        <v>1129.8599999999999</v>
      </c>
      <c r="D11" s="31">
        <v>0.140000322164549</v>
      </c>
      <c r="E11" s="30">
        <v>1074.95</v>
      </c>
      <c r="F11" s="31">
        <v>0.140000078143213</v>
      </c>
      <c r="G11" s="30">
        <v>1401.21</v>
      </c>
      <c r="H11" s="31">
        <v>0.23000058107068699</v>
      </c>
      <c r="I11" s="30">
        <v>1762.047</v>
      </c>
      <c r="J11" s="31">
        <v>0.27</v>
      </c>
      <c r="K11" s="30">
        <v>1803.25</v>
      </c>
      <c r="L11" s="31">
        <v>0.25</v>
      </c>
      <c r="M11" s="30">
        <v>1236.3679999999999</v>
      </c>
      <c r="N11" s="31">
        <v>0.19</v>
      </c>
      <c r="O11" s="30">
        <v>1449.0250000000001</v>
      </c>
      <c r="P11" s="31">
        <v>0.25</v>
      </c>
      <c r="Q11" s="30" t="s">
        <v>65</v>
      </c>
      <c r="R11" s="31"/>
      <c r="S11" s="30" t="s">
        <v>65</v>
      </c>
      <c r="T11" s="31"/>
      <c r="U11" s="30" t="s">
        <v>65</v>
      </c>
      <c r="V11" s="31"/>
      <c r="W11" s="30" t="s">
        <v>65</v>
      </c>
      <c r="X11" s="31"/>
      <c r="Y11" s="30" t="s">
        <v>65</v>
      </c>
      <c r="Z11" s="31"/>
      <c r="AA11" s="30" t="s">
        <v>65</v>
      </c>
      <c r="AB11" s="31"/>
      <c r="AC11" s="30" t="s">
        <v>65</v>
      </c>
      <c r="AD11" s="31"/>
      <c r="AE11" s="30" t="s">
        <v>65</v>
      </c>
      <c r="AF11" s="31"/>
      <c r="AG11" s="30" t="s">
        <v>65</v>
      </c>
      <c r="AH11" s="31"/>
    </row>
    <row r="12" spans="1:34" x14ac:dyDescent="0.3">
      <c r="A12" s="10" t="s">
        <v>583</v>
      </c>
      <c r="B12" s="10"/>
      <c r="C12" s="30">
        <v>1371.97</v>
      </c>
      <c r="D12" s="31">
        <v>0.17000003717283299</v>
      </c>
      <c r="E12" s="30">
        <v>1382.08</v>
      </c>
      <c r="F12" s="31">
        <v>0.18000028652511499</v>
      </c>
      <c r="G12" s="30">
        <v>1096.5999999999999</v>
      </c>
      <c r="H12" s="31">
        <v>0.18000059748511299</v>
      </c>
      <c r="I12" s="30">
        <v>1370.481</v>
      </c>
      <c r="J12" s="31">
        <v>0.21</v>
      </c>
      <c r="K12" s="30">
        <v>1514.73</v>
      </c>
      <c r="L12" s="31">
        <v>0.21</v>
      </c>
      <c r="M12" s="30">
        <v>1366.5119999999999</v>
      </c>
      <c r="N12" s="31">
        <v>0.21</v>
      </c>
      <c r="O12" s="30">
        <v>1217.181</v>
      </c>
      <c r="P12" s="31">
        <v>0.21</v>
      </c>
      <c r="Q12" s="30">
        <v>1858.329</v>
      </c>
      <c r="R12" s="31">
        <v>0.33</v>
      </c>
      <c r="S12" s="30">
        <v>1860.9</v>
      </c>
      <c r="T12" s="31">
        <v>0.329993616115761</v>
      </c>
      <c r="U12" s="30">
        <v>2165.94</v>
      </c>
      <c r="V12" s="31">
        <v>0.36</v>
      </c>
      <c r="W12" s="30">
        <v>2088.7179999999998</v>
      </c>
      <c r="X12" s="31">
        <v>0.340032558972439</v>
      </c>
      <c r="Y12" s="30">
        <v>1934.912</v>
      </c>
      <c r="Z12" s="31">
        <v>0.29170113972140099</v>
      </c>
      <c r="AA12" s="30">
        <v>2002.02</v>
      </c>
      <c r="AB12" s="31">
        <v>0.33999966034339302</v>
      </c>
      <c r="AC12" s="30">
        <v>2011.835</v>
      </c>
      <c r="AD12" s="31">
        <v>0.35</v>
      </c>
      <c r="AE12" s="30">
        <v>2028.492</v>
      </c>
      <c r="AF12" s="31">
        <v>0.36</v>
      </c>
      <c r="AG12" s="30">
        <v>3190</v>
      </c>
      <c r="AH12" s="31">
        <v>0.44</v>
      </c>
    </row>
    <row r="13" spans="1:34" x14ac:dyDescent="0.3">
      <c r="A13" s="10" t="s">
        <v>584</v>
      </c>
      <c r="B13" s="10"/>
      <c r="C13" s="30">
        <v>3147.46</v>
      </c>
      <c r="D13" s="31">
        <v>0.39000001239094401</v>
      </c>
      <c r="E13" s="30">
        <v>2917.72</v>
      </c>
      <c r="F13" s="31">
        <v>0.38000002604773803</v>
      </c>
      <c r="G13" s="30">
        <v>2619.64</v>
      </c>
      <c r="H13" s="31">
        <v>0.42999887397036402</v>
      </c>
      <c r="I13" s="30">
        <v>1762.047</v>
      </c>
      <c r="J13" s="31">
        <v>0.27</v>
      </c>
      <c r="K13" s="30">
        <v>793.43</v>
      </c>
      <c r="L13" s="31">
        <v>0.11</v>
      </c>
      <c r="M13" s="30">
        <v>2017.232</v>
      </c>
      <c r="N13" s="31">
        <v>0.31</v>
      </c>
      <c r="O13" s="30">
        <v>1680.8689999999999</v>
      </c>
      <c r="P13" s="31">
        <v>0.28999999999999998</v>
      </c>
      <c r="Q13" s="30">
        <v>1689.39</v>
      </c>
      <c r="R13" s="31">
        <v>0.3</v>
      </c>
      <c r="S13" s="30">
        <v>1691.8</v>
      </c>
      <c r="T13" s="31">
        <v>0.30000709320470997</v>
      </c>
      <c r="U13" s="30">
        <v>1804.95</v>
      </c>
      <c r="V13" s="31">
        <v>0.3</v>
      </c>
      <c r="W13" s="30">
        <v>2026.8910000000001</v>
      </c>
      <c r="X13" s="31">
        <v>0.32996744102756098</v>
      </c>
      <c r="Y13" s="30">
        <v>2763.3760000000002</v>
      </c>
      <c r="Z13" s="31">
        <v>0.41659772055719702</v>
      </c>
      <c r="AA13" s="30">
        <v>2119.8000000000002</v>
      </c>
      <c r="AB13" s="31">
        <v>0.36000203793964303</v>
      </c>
      <c r="AC13" s="30">
        <v>2011.835</v>
      </c>
      <c r="AD13" s="31">
        <v>0.35</v>
      </c>
      <c r="AE13" s="30">
        <v>1972.145</v>
      </c>
      <c r="AF13" s="31">
        <v>0.35</v>
      </c>
      <c r="AG13" s="30">
        <v>2392.5</v>
      </c>
      <c r="AH13" s="31">
        <v>0.33</v>
      </c>
    </row>
    <row r="14" spans="1:34" x14ac:dyDescent="0.3">
      <c r="A14" s="6" t="s">
        <v>575</v>
      </c>
      <c r="B14" s="6"/>
      <c r="C14" s="36" t="s">
        <v>65</v>
      </c>
      <c r="D14" s="37"/>
      <c r="E14" s="36" t="s">
        <v>65</v>
      </c>
      <c r="F14" s="37"/>
      <c r="G14" s="36" t="s">
        <v>65</v>
      </c>
      <c r="H14" s="37"/>
      <c r="I14" s="36" t="s">
        <v>65</v>
      </c>
      <c r="J14" s="37"/>
      <c r="K14" s="36" t="s">
        <v>65</v>
      </c>
      <c r="L14" s="37"/>
      <c r="M14" s="36" t="s">
        <v>65</v>
      </c>
      <c r="N14" s="37"/>
      <c r="O14" s="36" t="s">
        <v>65</v>
      </c>
      <c r="P14" s="37"/>
      <c r="Q14" s="36" t="s">
        <v>65</v>
      </c>
      <c r="R14" s="37"/>
      <c r="S14" s="36" t="s">
        <v>65</v>
      </c>
      <c r="T14" s="37"/>
      <c r="U14" s="36" t="s">
        <v>65</v>
      </c>
      <c r="V14" s="37"/>
      <c r="W14" s="36" t="s">
        <v>65</v>
      </c>
      <c r="X14" s="37"/>
      <c r="Y14" s="36" t="s">
        <v>65</v>
      </c>
      <c r="Z14" s="37"/>
      <c r="AA14" s="36" t="s">
        <v>65</v>
      </c>
      <c r="AB14" s="37"/>
      <c r="AC14" s="36" t="s">
        <v>65</v>
      </c>
      <c r="AD14" s="37"/>
      <c r="AE14" s="36" t="s">
        <v>65</v>
      </c>
      <c r="AF14" s="37"/>
      <c r="AG14" s="36" t="s">
        <v>65</v>
      </c>
      <c r="AH14" s="37"/>
    </row>
    <row r="15" spans="1:34" x14ac:dyDescent="0.3">
      <c r="A15" s="10" t="s">
        <v>580</v>
      </c>
      <c r="B15" s="10"/>
      <c r="C15" s="32" t="s">
        <v>65</v>
      </c>
      <c r="D15" s="33"/>
      <c r="E15" s="32" t="s">
        <v>65</v>
      </c>
      <c r="F15" s="33"/>
      <c r="G15" s="32" t="s">
        <v>65</v>
      </c>
      <c r="H15" s="33"/>
      <c r="I15" s="32" t="s">
        <v>65</v>
      </c>
      <c r="J15" s="33"/>
      <c r="K15" s="32" t="s">
        <v>65</v>
      </c>
      <c r="L15" s="33"/>
      <c r="M15" s="32" t="s">
        <v>65</v>
      </c>
      <c r="N15" s="33"/>
      <c r="O15" s="32" t="s">
        <v>65</v>
      </c>
      <c r="P15" s="33"/>
      <c r="Q15" s="32" t="s">
        <v>65</v>
      </c>
      <c r="R15" s="33"/>
      <c r="S15" s="32" t="s">
        <v>65</v>
      </c>
      <c r="T15" s="33"/>
      <c r="U15" s="32">
        <v>13</v>
      </c>
      <c r="V15" s="33"/>
      <c r="W15" s="32">
        <v>12</v>
      </c>
      <c r="X15" s="33"/>
      <c r="Y15" s="32">
        <v>12</v>
      </c>
      <c r="Z15" s="33"/>
      <c r="AA15" s="32">
        <v>12</v>
      </c>
      <c r="AB15" s="33"/>
      <c r="AC15" s="32" t="s">
        <v>65</v>
      </c>
      <c r="AD15" s="33"/>
      <c r="AE15" s="32">
        <v>13</v>
      </c>
      <c r="AF15" s="33"/>
      <c r="AG15" s="32">
        <v>12</v>
      </c>
      <c r="AH15" s="33"/>
    </row>
    <row r="16" spans="1:34" x14ac:dyDescent="0.3">
      <c r="A16" s="10" t="s">
        <v>581</v>
      </c>
      <c r="B16" s="10"/>
      <c r="C16" s="32" t="s">
        <v>65</v>
      </c>
      <c r="D16" s="33"/>
      <c r="E16" s="32" t="s">
        <v>65</v>
      </c>
      <c r="F16" s="33"/>
      <c r="G16" s="32" t="s">
        <v>65</v>
      </c>
      <c r="H16" s="33"/>
      <c r="I16" s="32" t="s">
        <v>65</v>
      </c>
      <c r="J16" s="33"/>
      <c r="K16" s="32" t="s">
        <v>65</v>
      </c>
      <c r="L16" s="33"/>
      <c r="M16" s="32" t="s">
        <v>65</v>
      </c>
      <c r="N16" s="33"/>
      <c r="O16" s="32" t="s">
        <v>65</v>
      </c>
      <c r="P16" s="33"/>
      <c r="Q16" s="32" t="s">
        <v>65</v>
      </c>
      <c r="R16" s="33"/>
      <c r="S16" s="32" t="s">
        <v>65</v>
      </c>
      <c r="T16" s="33"/>
      <c r="U16" s="32">
        <v>21</v>
      </c>
      <c r="V16" s="33"/>
      <c r="W16" s="32">
        <v>21</v>
      </c>
      <c r="X16" s="33"/>
      <c r="Y16" s="32">
        <v>20</v>
      </c>
      <c r="Z16" s="33"/>
      <c r="AA16" s="32">
        <v>18</v>
      </c>
      <c r="AB16" s="33"/>
      <c r="AC16" s="32">
        <v>20</v>
      </c>
      <c r="AD16" s="33"/>
      <c r="AE16" s="32">
        <v>16</v>
      </c>
      <c r="AF16" s="33"/>
      <c r="AG16" s="32">
        <v>11</v>
      </c>
      <c r="AH16" s="33"/>
    </row>
    <row r="17" spans="1:34" x14ac:dyDescent="0.3">
      <c r="A17" s="10" t="s">
        <v>583</v>
      </c>
      <c r="B17" s="10"/>
      <c r="C17" s="32" t="s">
        <v>65</v>
      </c>
      <c r="D17" s="33"/>
      <c r="E17" s="32" t="s">
        <v>65</v>
      </c>
      <c r="F17" s="33"/>
      <c r="G17" s="32" t="s">
        <v>65</v>
      </c>
      <c r="H17" s="33"/>
      <c r="I17" s="32" t="s">
        <v>65</v>
      </c>
      <c r="J17" s="33"/>
      <c r="K17" s="32" t="s">
        <v>65</v>
      </c>
      <c r="L17" s="33"/>
      <c r="M17" s="32" t="s">
        <v>65</v>
      </c>
      <c r="N17" s="33"/>
      <c r="O17" s="32" t="s">
        <v>65</v>
      </c>
      <c r="P17" s="33"/>
      <c r="Q17" s="32" t="s">
        <v>65</v>
      </c>
      <c r="R17" s="33"/>
      <c r="S17" s="32" t="s">
        <v>65</v>
      </c>
      <c r="T17" s="33"/>
      <c r="U17" s="32">
        <v>36</v>
      </c>
      <c r="V17" s="33"/>
      <c r="W17" s="32">
        <v>34</v>
      </c>
      <c r="X17" s="33"/>
      <c r="Y17" s="32">
        <v>32</v>
      </c>
      <c r="Z17" s="33"/>
      <c r="AA17" s="32">
        <v>34</v>
      </c>
      <c r="AB17" s="33"/>
      <c r="AC17" s="32">
        <v>35</v>
      </c>
      <c r="AD17" s="33"/>
      <c r="AE17" s="32">
        <v>36</v>
      </c>
      <c r="AF17" s="33"/>
      <c r="AG17" s="32">
        <v>44</v>
      </c>
      <c r="AH17" s="33"/>
    </row>
    <row r="18" spans="1:34" x14ac:dyDescent="0.3">
      <c r="A18" s="6" t="s">
        <v>585</v>
      </c>
      <c r="B18" s="6"/>
      <c r="C18" s="34">
        <v>466</v>
      </c>
      <c r="D18" s="35">
        <v>1</v>
      </c>
      <c r="E18" s="34">
        <v>467.5</v>
      </c>
      <c r="F18" s="35">
        <v>1</v>
      </c>
      <c r="G18" s="34">
        <v>433.5</v>
      </c>
      <c r="H18" s="35">
        <v>1</v>
      </c>
      <c r="I18" s="34">
        <v>332.2</v>
      </c>
      <c r="J18" s="35">
        <v>1</v>
      </c>
      <c r="K18" s="34">
        <v>322.7</v>
      </c>
      <c r="L18" s="35">
        <v>1</v>
      </c>
      <c r="M18" s="34">
        <v>337</v>
      </c>
      <c r="N18" s="35">
        <v>1</v>
      </c>
      <c r="O18" s="34">
        <v>313.60000000000002</v>
      </c>
      <c r="P18" s="35">
        <v>1</v>
      </c>
      <c r="Q18" s="34">
        <v>312.39999999999998</v>
      </c>
      <c r="R18" s="35">
        <v>1</v>
      </c>
      <c r="S18" s="34">
        <v>314.60000000000002</v>
      </c>
      <c r="T18" s="35">
        <v>1</v>
      </c>
      <c r="U18" s="34" t="s">
        <v>65</v>
      </c>
      <c r="V18" s="35"/>
      <c r="W18" s="34" t="s">
        <v>65</v>
      </c>
      <c r="X18" s="35"/>
      <c r="Y18" s="34" t="s">
        <v>65</v>
      </c>
      <c r="Z18" s="35"/>
      <c r="AA18" s="34" t="s">
        <v>65</v>
      </c>
      <c r="AB18" s="35"/>
      <c r="AC18" s="34" t="s">
        <v>65</v>
      </c>
      <c r="AD18" s="35"/>
      <c r="AE18" s="34" t="s">
        <v>65</v>
      </c>
      <c r="AF18" s="35"/>
      <c r="AG18" s="34" t="s">
        <v>65</v>
      </c>
      <c r="AH18" s="35"/>
    </row>
    <row r="19" spans="1:34" x14ac:dyDescent="0.3">
      <c r="A19" s="10" t="s">
        <v>579</v>
      </c>
      <c r="B19" s="10"/>
      <c r="C19" s="30">
        <v>83.88</v>
      </c>
      <c r="D19" s="31">
        <v>0.18</v>
      </c>
      <c r="E19" s="30">
        <v>74.8</v>
      </c>
      <c r="F19" s="31">
        <v>0.16</v>
      </c>
      <c r="G19" s="30">
        <v>43.35</v>
      </c>
      <c r="H19" s="31">
        <v>0.1</v>
      </c>
      <c r="I19" s="30">
        <v>33.22</v>
      </c>
      <c r="J19" s="31">
        <v>0.1</v>
      </c>
      <c r="K19" s="30">
        <v>41.95</v>
      </c>
      <c r="L19" s="31">
        <v>0.129996901146576</v>
      </c>
      <c r="M19" s="30">
        <v>37.07</v>
      </c>
      <c r="N19" s="31">
        <v>0.11</v>
      </c>
      <c r="O19" s="30">
        <v>34.496000000000002</v>
      </c>
      <c r="P19" s="31">
        <v>0.11</v>
      </c>
      <c r="Q19" s="30">
        <v>31.24</v>
      </c>
      <c r="R19" s="31">
        <v>0.1</v>
      </c>
      <c r="S19" s="30" t="s">
        <v>65</v>
      </c>
      <c r="T19" s="31"/>
      <c r="U19" s="30" t="s">
        <v>65</v>
      </c>
      <c r="V19" s="31"/>
      <c r="W19" s="30" t="s">
        <v>65</v>
      </c>
      <c r="X19" s="31"/>
      <c r="Y19" s="30" t="s">
        <v>65</v>
      </c>
      <c r="Z19" s="31"/>
      <c r="AA19" s="30" t="s">
        <v>65</v>
      </c>
      <c r="AB19" s="31"/>
      <c r="AC19" s="30" t="s">
        <v>65</v>
      </c>
      <c r="AD19" s="31"/>
      <c r="AE19" s="30" t="s">
        <v>65</v>
      </c>
      <c r="AF19" s="31"/>
      <c r="AG19" s="30" t="s">
        <v>65</v>
      </c>
      <c r="AH19" s="31"/>
    </row>
    <row r="20" spans="1:34" x14ac:dyDescent="0.3">
      <c r="A20" s="10" t="s">
        <v>586</v>
      </c>
      <c r="B20" s="10"/>
      <c r="C20" s="30" t="s">
        <v>65</v>
      </c>
      <c r="D20" s="31"/>
      <c r="E20" s="30" t="s">
        <v>65</v>
      </c>
      <c r="F20" s="31"/>
      <c r="G20" s="30" t="s">
        <v>65</v>
      </c>
      <c r="H20" s="31"/>
      <c r="I20" s="30" t="s">
        <v>65</v>
      </c>
      <c r="J20" s="31"/>
      <c r="K20" s="30" t="s">
        <v>65</v>
      </c>
      <c r="L20" s="31"/>
      <c r="M20" s="30">
        <v>67.400000000000006</v>
      </c>
      <c r="N20" s="31">
        <v>0.2</v>
      </c>
      <c r="O20" s="30">
        <v>62.72</v>
      </c>
      <c r="P20" s="31">
        <v>0.2</v>
      </c>
      <c r="Q20" s="30">
        <v>49.984000000000002</v>
      </c>
      <c r="R20" s="31">
        <v>0.16</v>
      </c>
      <c r="S20" s="30">
        <v>44.043999999999997</v>
      </c>
      <c r="T20" s="31">
        <v>0.14000000000000001</v>
      </c>
      <c r="U20" s="30" t="s">
        <v>65</v>
      </c>
      <c r="V20" s="31"/>
      <c r="W20" s="30" t="s">
        <v>65</v>
      </c>
      <c r="X20" s="31"/>
      <c r="Y20" s="30" t="s">
        <v>65</v>
      </c>
      <c r="Z20" s="31"/>
      <c r="AA20" s="30" t="s">
        <v>65</v>
      </c>
      <c r="AB20" s="31"/>
      <c r="AC20" s="30" t="s">
        <v>65</v>
      </c>
      <c r="AD20" s="31"/>
      <c r="AE20" s="30" t="s">
        <v>65</v>
      </c>
      <c r="AF20" s="31"/>
      <c r="AG20" s="30" t="s">
        <v>65</v>
      </c>
      <c r="AH20" s="31"/>
    </row>
    <row r="21" spans="1:34" x14ac:dyDescent="0.3">
      <c r="A21" s="10" t="s">
        <v>580</v>
      </c>
      <c r="B21" s="10"/>
      <c r="C21" s="30" t="s">
        <v>65</v>
      </c>
      <c r="D21" s="31"/>
      <c r="E21" s="30" t="s">
        <v>65</v>
      </c>
      <c r="F21" s="31"/>
      <c r="G21" s="30" t="s">
        <v>65</v>
      </c>
      <c r="H21" s="31"/>
      <c r="I21" s="30" t="s">
        <v>65</v>
      </c>
      <c r="J21" s="31"/>
      <c r="K21" s="30" t="s">
        <v>65</v>
      </c>
      <c r="L21" s="31"/>
      <c r="M21" s="30">
        <v>53.92</v>
      </c>
      <c r="N21" s="31">
        <v>0.16</v>
      </c>
      <c r="O21" s="30">
        <v>50.176000000000002</v>
      </c>
      <c r="P21" s="31">
        <v>0.16</v>
      </c>
      <c r="Q21" s="30">
        <v>59.356000000000002</v>
      </c>
      <c r="R21" s="31">
        <v>0.19</v>
      </c>
      <c r="S21" s="30">
        <v>53.481999999999999</v>
      </c>
      <c r="T21" s="31">
        <v>0.17</v>
      </c>
      <c r="U21" s="30" t="s">
        <v>65</v>
      </c>
      <c r="V21" s="31"/>
      <c r="W21" s="30" t="s">
        <v>65</v>
      </c>
      <c r="X21" s="31"/>
      <c r="Y21" s="30" t="s">
        <v>65</v>
      </c>
      <c r="Z21" s="31"/>
      <c r="AA21" s="30" t="s">
        <v>65</v>
      </c>
      <c r="AB21" s="31"/>
      <c r="AC21" s="30" t="s">
        <v>65</v>
      </c>
      <c r="AD21" s="31"/>
      <c r="AE21" s="30" t="s">
        <v>65</v>
      </c>
      <c r="AF21" s="31"/>
      <c r="AG21" s="30" t="s">
        <v>65</v>
      </c>
      <c r="AH21" s="31"/>
    </row>
    <row r="22" spans="1:34" x14ac:dyDescent="0.3">
      <c r="A22" s="10" t="s">
        <v>581</v>
      </c>
      <c r="B22" s="10"/>
      <c r="C22" s="30">
        <v>97.86</v>
      </c>
      <c r="D22" s="31">
        <v>0.21</v>
      </c>
      <c r="E22" s="30">
        <v>107.52500000000001</v>
      </c>
      <c r="F22" s="31">
        <v>0.23</v>
      </c>
      <c r="G22" s="30">
        <v>104.04</v>
      </c>
      <c r="H22" s="31">
        <v>0.24</v>
      </c>
      <c r="I22" s="30">
        <v>69.762</v>
      </c>
      <c r="J22" s="31">
        <v>0.21</v>
      </c>
      <c r="K22" s="30">
        <v>83.9</v>
      </c>
      <c r="L22" s="31">
        <v>0.259993802293152</v>
      </c>
      <c r="M22" s="30">
        <v>77.510000000000005</v>
      </c>
      <c r="N22" s="31">
        <v>0.23</v>
      </c>
      <c r="O22" s="30">
        <v>72.128</v>
      </c>
      <c r="P22" s="31">
        <v>0.23</v>
      </c>
      <c r="Q22" s="30">
        <v>68.727999999999994</v>
      </c>
      <c r="R22" s="31">
        <v>0.22</v>
      </c>
      <c r="S22" s="30">
        <v>72.358000000000004</v>
      </c>
      <c r="T22" s="31">
        <v>0.23</v>
      </c>
      <c r="U22" s="30" t="s">
        <v>65</v>
      </c>
      <c r="V22" s="31"/>
      <c r="W22" s="30" t="s">
        <v>65</v>
      </c>
      <c r="X22" s="31"/>
      <c r="Y22" s="30" t="s">
        <v>65</v>
      </c>
      <c r="Z22" s="31"/>
      <c r="AA22" s="30" t="s">
        <v>65</v>
      </c>
      <c r="AB22" s="31"/>
      <c r="AC22" s="30" t="s">
        <v>65</v>
      </c>
      <c r="AD22" s="31"/>
      <c r="AE22" s="30" t="s">
        <v>65</v>
      </c>
      <c r="AF22" s="31"/>
      <c r="AG22" s="30" t="s">
        <v>65</v>
      </c>
      <c r="AH22" s="31"/>
    </row>
    <row r="23" spans="1:34" x14ac:dyDescent="0.3">
      <c r="A23" s="10" t="s">
        <v>582</v>
      </c>
      <c r="B23" s="10"/>
      <c r="C23" s="30">
        <v>0</v>
      </c>
      <c r="D23" s="31"/>
      <c r="E23" s="30">
        <v>60.774999999999999</v>
      </c>
      <c r="F23" s="31">
        <v>0.13</v>
      </c>
      <c r="G23" s="30">
        <v>82.37</v>
      </c>
      <c r="H23" s="31">
        <v>0.19001153402537499</v>
      </c>
      <c r="I23" s="30">
        <v>59.795999999999999</v>
      </c>
      <c r="J23" s="31">
        <v>0.18</v>
      </c>
      <c r="K23" s="30">
        <v>38.72</v>
      </c>
      <c r="L23" s="31">
        <v>0.119987604586303</v>
      </c>
      <c r="M23" s="30">
        <v>67.400000000000006</v>
      </c>
      <c r="N23" s="31">
        <v>0.2</v>
      </c>
      <c r="O23" s="30" t="s">
        <v>65</v>
      </c>
      <c r="P23" s="31"/>
      <c r="Q23" s="30" t="s">
        <v>65</v>
      </c>
      <c r="R23" s="31"/>
      <c r="S23" s="30" t="s">
        <v>65</v>
      </c>
      <c r="T23" s="31"/>
      <c r="U23" s="30" t="s">
        <v>65</v>
      </c>
      <c r="V23" s="31"/>
      <c r="W23" s="30" t="s">
        <v>65</v>
      </c>
      <c r="X23" s="31"/>
      <c r="Y23" s="30" t="s">
        <v>65</v>
      </c>
      <c r="Z23" s="31"/>
      <c r="AA23" s="30" t="s">
        <v>65</v>
      </c>
      <c r="AB23" s="31"/>
      <c r="AC23" s="30" t="s">
        <v>65</v>
      </c>
      <c r="AD23" s="31"/>
      <c r="AE23" s="30" t="s">
        <v>65</v>
      </c>
      <c r="AF23" s="31"/>
      <c r="AG23" s="30" t="s">
        <v>65</v>
      </c>
      <c r="AH23" s="31"/>
    </row>
    <row r="24" spans="1:34" x14ac:dyDescent="0.3">
      <c r="A24" s="10" t="s">
        <v>583</v>
      </c>
      <c r="B24" s="10"/>
      <c r="C24" s="30">
        <v>74.56</v>
      </c>
      <c r="D24" s="31">
        <v>0.16</v>
      </c>
      <c r="E24" s="30">
        <v>60.774999999999999</v>
      </c>
      <c r="F24" s="31">
        <v>0.13</v>
      </c>
      <c r="G24" s="30">
        <v>56.36</v>
      </c>
      <c r="H24" s="31">
        <v>0.13001153402537499</v>
      </c>
      <c r="I24" s="30">
        <v>46.508000000000003</v>
      </c>
      <c r="J24" s="31">
        <v>0.14000000000000001</v>
      </c>
      <c r="K24" s="30">
        <v>38.72</v>
      </c>
      <c r="L24" s="31">
        <v>0.119987604586303</v>
      </c>
      <c r="M24" s="30">
        <v>33.700000000000003</v>
      </c>
      <c r="N24" s="31">
        <v>0.1</v>
      </c>
      <c r="O24" s="30">
        <v>31.36</v>
      </c>
      <c r="P24" s="31">
        <v>0.1</v>
      </c>
      <c r="Q24" s="30">
        <v>49.984000000000002</v>
      </c>
      <c r="R24" s="31">
        <v>0.16</v>
      </c>
      <c r="S24" s="30">
        <v>72.358000000000004</v>
      </c>
      <c r="T24" s="31">
        <v>0.23</v>
      </c>
      <c r="U24" s="30" t="s">
        <v>65</v>
      </c>
      <c r="V24" s="31"/>
      <c r="W24" s="30" t="s">
        <v>65</v>
      </c>
      <c r="X24" s="31"/>
      <c r="Y24" s="30" t="s">
        <v>65</v>
      </c>
      <c r="Z24" s="31"/>
      <c r="AA24" s="30" t="s">
        <v>65</v>
      </c>
      <c r="AB24" s="31"/>
      <c r="AC24" s="30" t="s">
        <v>65</v>
      </c>
      <c r="AD24" s="31"/>
      <c r="AE24" s="30" t="s">
        <v>65</v>
      </c>
      <c r="AF24" s="31"/>
      <c r="AG24" s="30" t="s">
        <v>65</v>
      </c>
      <c r="AH24" s="31"/>
    </row>
    <row r="25" spans="1:34" x14ac:dyDescent="0.3">
      <c r="A25" s="10" t="s">
        <v>584</v>
      </c>
      <c r="B25" s="10"/>
      <c r="C25" s="30">
        <v>209.7</v>
      </c>
      <c r="D25" s="31">
        <v>0.45</v>
      </c>
      <c r="E25" s="30">
        <v>163.625</v>
      </c>
      <c r="F25" s="31">
        <v>0.35</v>
      </c>
      <c r="G25" s="30">
        <v>147.38</v>
      </c>
      <c r="H25" s="31">
        <v>0.33997693194924999</v>
      </c>
      <c r="I25" s="30">
        <v>122.914</v>
      </c>
      <c r="J25" s="31">
        <v>0.37</v>
      </c>
      <c r="K25" s="30">
        <v>119.41</v>
      </c>
      <c r="L25" s="31">
        <v>0.37003408738766702</v>
      </c>
      <c r="M25" s="30" t="s">
        <v>65</v>
      </c>
      <c r="N25" s="31"/>
      <c r="O25" s="30">
        <v>62.72</v>
      </c>
      <c r="P25" s="31">
        <v>0.2</v>
      </c>
      <c r="Q25" s="30">
        <v>53.107999999999997</v>
      </c>
      <c r="R25" s="31">
        <v>0.17</v>
      </c>
      <c r="S25" s="30">
        <v>72.358000000000004</v>
      </c>
      <c r="T25" s="31">
        <v>0.23</v>
      </c>
      <c r="U25" s="30" t="s">
        <v>65</v>
      </c>
      <c r="V25" s="31"/>
      <c r="W25" s="30" t="s">
        <v>65</v>
      </c>
      <c r="X25" s="31"/>
      <c r="Y25" s="30" t="s">
        <v>65</v>
      </c>
      <c r="Z25" s="31"/>
      <c r="AA25" s="30" t="s">
        <v>65</v>
      </c>
      <c r="AB25" s="31"/>
      <c r="AC25" s="30" t="s">
        <v>65</v>
      </c>
      <c r="AD25" s="31"/>
      <c r="AE25" s="30" t="s">
        <v>65</v>
      </c>
      <c r="AF25" s="31"/>
      <c r="AG25" s="30" t="s">
        <v>65</v>
      </c>
      <c r="AH25" s="31"/>
    </row>
    <row r="26" spans="1:34" x14ac:dyDescent="0.3">
      <c r="A26" s="6" t="s">
        <v>587</v>
      </c>
      <c r="B26" s="6"/>
      <c r="C26" s="34" t="s">
        <v>65</v>
      </c>
      <c r="D26" s="35"/>
      <c r="E26" s="34" t="s">
        <v>65</v>
      </c>
      <c r="F26" s="35"/>
      <c r="G26" s="34" t="s">
        <v>65</v>
      </c>
      <c r="H26" s="35"/>
      <c r="I26" s="34" t="s">
        <v>65</v>
      </c>
      <c r="J26" s="35"/>
      <c r="K26" s="34" t="s">
        <v>65</v>
      </c>
      <c r="L26" s="35"/>
      <c r="M26" s="34" t="s">
        <v>65</v>
      </c>
      <c r="N26" s="35"/>
      <c r="O26" s="34" t="s">
        <v>65</v>
      </c>
      <c r="P26" s="35"/>
      <c r="Q26" s="34" t="s">
        <v>65</v>
      </c>
      <c r="R26" s="35"/>
      <c r="S26" s="34" t="s">
        <v>65</v>
      </c>
      <c r="T26" s="35"/>
      <c r="U26" s="34">
        <v>475.8</v>
      </c>
      <c r="V26" s="35">
        <v>1</v>
      </c>
      <c r="W26" s="34">
        <v>487.6</v>
      </c>
      <c r="X26" s="35">
        <v>1</v>
      </c>
      <c r="Y26" s="34">
        <v>914.2</v>
      </c>
      <c r="Z26" s="35">
        <v>1</v>
      </c>
      <c r="AA26" s="34">
        <v>459.10399999999998</v>
      </c>
      <c r="AB26" s="35">
        <v>1</v>
      </c>
      <c r="AC26" s="34">
        <v>433.5</v>
      </c>
      <c r="AD26" s="35">
        <v>1</v>
      </c>
      <c r="AE26" s="34">
        <v>452.5</v>
      </c>
      <c r="AF26" s="35">
        <v>1</v>
      </c>
      <c r="AG26" s="34">
        <v>510</v>
      </c>
      <c r="AH26" s="35">
        <v>1</v>
      </c>
    </row>
    <row r="27" spans="1:34" x14ac:dyDescent="0.3">
      <c r="A27" s="10" t="s">
        <v>578</v>
      </c>
      <c r="B27" s="10"/>
      <c r="C27" s="30" t="s">
        <v>65</v>
      </c>
      <c r="D27" s="31"/>
      <c r="E27" s="30" t="s">
        <v>65</v>
      </c>
      <c r="F27" s="31"/>
      <c r="G27" s="30" t="s">
        <v>65</v>
      </c>
      <c r="H27" s="31"/>
      <c r="I27" s="30" t="s">
        <v>65</v>
      </c>
      <c r="J27" s="31"/>
      <c r="K27" s="30" t="s">
        <v>65</v>
      </c>
      <c r="L27" s="31"/>
      <c r="M27" s="30" t="s">
        <v>65</v>
      </c>
      <c r="N27" s="31"/>
      <c r="O27" s="30" t="s">
        <v>65</v>
      </c>
      <c r="P27" s="31"/>
      <c r="Q27" s="30" t="s">
        <v>65</v>
      </c>
      <c r="R27" s="31"/>
      <c r="S27" s="30" t="s">
        <v>65</v>
      </c>
      <c r="T27" s="31"/>
      <c r="U27" s="30" t="s">
        <v>65</v>
      </c>
      <c r="V27" s="31"/>
      <c r="W27" s="30">
        <v>68.263999999999996</v>
      </c>
      <c r="X27" s="31">
        <v>0.14000000000000001</v>
      </c>
      <c r="Y27" s="30">
        <v>137.13</v>
      </c>
      <c r="Z27" s="31">
        <v>0.15</v>
      </c>
      <c r="AA27" s="30">
        <v>50.5</v>
      </c>
      <c r="AB27" s="31">
        <v>0.109996863455775</v>
      </c>
      <c r="AC27" s="30">
        <v>50.5</v>
      </c>
      <c r="AD27" s="31">
        <v>0.116493656286044</v>
      </c>
      <c r="AE27" s="30" t="s">
        <v>65</v>
      </c>
      <c r="AF27" s="31"/>
      <c r="AG27" s="30" t="s">
        <v>65</v>
      </c>
      <c r="AH27" s="31"/>
    </row>
    <row r="28" spans="1:34" x14ac:dyDescent="0.3">
      <c r="A28" s="10" t="s">
        <v>586</v>
      </c>
      <c r="B28" s="10"/>
      <c r="C28" s="30" t="s">
        <v>65</v>
      </c>
      <c r="D28" s="31"/>
      <c r="E28" s="30" t="s">
        <v>65</v>
      </c>
      <c r="F28" s="31"/>
      <c r="G28" s="30" t="s">
        <v>65</v>
      </c>
      <c r="H28" s="31"/>
      <c r="I28" s="30" t="s">
        <v>65</v>
      </c>
      <c r="J28" s="31"/>
      <c r="K28" s="30" t="s">
        <v>65</v>
      </c>
      <c r="L28" s="31"/>
      <c r="M28" s="30" t="s">
        <v>65</v>
      </c>
      <c r="N28" s="31"/>
      <c r="O28" s="30" t="s">
        <v>65</v>
      </c>
      <c r="P28" s="31"/>
      <c r="Q28" s="30" t="s">
        <v>65</v>
      </c>
      <c r="R28" s="31"/>
      <c r="S28" s="30" t="s">
        <v>65</v>
      </c>
      <c r="T28" s="31"/>
      <c r="U28" s="30">
        <v>80.885999999999996</v>
      </c>
      <c r="V28" s="31">
        <v>0.17</v>
      </c>
      <c r="W28" s="30">
        <v>58.512</v>
      </c>
      <c r="X28" s="31">
        <v>0.12</v>
      </c>
      <c r="Y28" s="30">
        <v>137.13</v>
      </c>
      <c r="Z28" s="31">
        <v>0.15</v>
      </c>
      <c r="AA28" s="30">
        <v>73.45</v>
      </c>
      <c r="AB28" s="31">
        <v>0.15998553704607199</v>
      </c>
      <c r="AC28" s="30">
        <v>78.03</v>
      </c>
      <c r="AD28" s="31">
        <v>0.18</v>
      </c>
      <c r="AE28" s="30">
        <v>99.55</v>
      </c>
      <c r="AF28" s="31">
        <v>0.22</v>
      </c>
      <c r="AG28" s="30">
        <v>127.5</v>
      </c>
      <c r="AH28" s="31">
        <v>0.25</v>
      </c>
    </row>
    <row r="29" spans="1:34" x14ac:dyDescent="0.3">
      <c r="A29" s="10" t="s">
        <v>580</v>
      </c>
      <c r="B29" s="10"/>
      <c r="C29" s="30" t="s">
        <v>65</v>
      </c>
      <c r="D29" s="31"/>
      <c r="E29" s="30" t="s">
        <v>65</v>
      </c>
      <c r="F29" s="31"/>
      <c r="G29" s="30" t="s">
        <v>65</v>
      </c>
      <c r="H29" s="31"/>
      <c r="I29" s="30" t="s">
        <v>65</v>
      </c>
      <c r="J29" s="31"/>
      <c r="K29" s="30" t="s">
        <v>65</v>
      </c>
      <c r="L29" s="31"/>
      <c r="M29" s="30" t="s">
        <v>65</v>
      </c>
      <c r="N29" s="31"/>
      <c r="O29" s="30" t="s">
        <v>65</v>
      </c>
      <c r="P29" s="31"/>
      <c r="Q29" s="30" t="s">
        <v>65</v>
      </c>
      <c r="R29" s="31"/>
      <c r="S29" s="30" t="s">
        <v>65</v>
      </c>
      <c r="T29" s="31"/>
      <c r="U29" s="30">
        <v>61.853999999999999</v>
      </c>
      <c r="V29" s="31">
        <v>0.13</v>
      </c>
      <c r="W29" s="30">
        <v>68.263999999999996</v>
      </c>
      <c r="X29" s="31">
        <v>0.14000000000000001</v>
      </c>
      <c r="Y29" s="30">
        <v>118.846</v>
      </c>
      <c r="Z29" s="31">
        <v>0.13</v>
      </c>
      <c r="AA29" s="30" t="s">
        <v>65</v>
      </c>
      <c r="AB29" s="31"/>
      <c r="AC29" s="30" t="s">
        <v>65</v>
      </c>
      <c r="AD29" s="31"/>
      <c r="AE29" s="30" t="s">
        <v>65</v>
      </c>
      <c r="AF29" s="31"/>
      <c r="AG29" s="30" t="s">
        <v>65</v>
      </c>
      <c r="AH29" s="31"/>
    </row>
    <row r="30" spans="1:34" x14ac:dyDescent="0.3">
      <c r="A30" s="10" t="s">
        <v>581</v>
      </c>
      <c r="B30" s="10"/>
      <c r="C30" s="30" t="s">
        <v>65</v>
      </c>
      <c r="D30" s="31"/>
      <c r="E30" s="30" t="s">
        <v>65</v>
      </c>
      <c r="F30" s="31"/>
      <c r="G30" s="30" t="s">
        <v>65</v>
      </c>
      <c r="H30" s="31"/>
      <c r="I30" s="30" t="s">
        <v>65</v>
      </c>
      <c r="J30" s="31"/>
      <c r="K30" s="30" t="s">
        <v>65</v>
      </c>
      <c r="L30" s="31"/>
      <c r="M30" s="30" t="s">
        <v>65</v>
      </c>
      <c r="N30" s="31"/>
      <c r="O30" s="30" t="s">
        <v>65</v>
      </c>
      <c r="P30" s="31"/>
      <c r="Q30" s="30" t="s">
        <v>65</v>
      </c>
      <c r="R30" s="31"/>
      <c r="S30" s="30" t="s">
        <v>65</v>
      </c>
      <c r="T30" s="31"/>
      <c r="U30" s="30">
        <v>109.434</v>
      </c>
      <c r="V30" s="31">
        <v>0.23</v>
      </c>
      <c r="W30" s="30">
        <v>107.27200000000001</v>
      </c>
      <c r="X30" s="31">
        <v>0.22</v>
      </c>
      <c r="Y30" s="30">
        <v>173.69800000000001</v>
      </c>
      <c r="Z30" s="31">
        <v>0.19</v>
      </c>
      <c r="AA30" s="30">
        <v>64.274000000000001</v>
      </c>
      <c r="AB30" s="31">
        <v>0.13999878023280099</v>
      </c>
      <c r="AC30" s="30">
        <v>60.69</v>
      </c>
      <c r="AD30" s="31">
        <v>0.14000000000000001</v>
      </c>
      <c r="AE30" s="30">
        <v>49.774999999999999</v>
      </c>
      <c r="AF30" s="31">
        <v>0.11</v>
      </c>
      <c r="AG30" s="30" t="s">
        <v>65</v>
      </c>
      <c r="AH30" s="31"/>
    </row>
    <row r="31" spans="1:34" x14ac:dyDescent="0.3">
      <c r="A31" s="10" t="s">
        <v>583</v>
      </c>
      <c r="B31" s="10"/>
      <c r="C31" s="30" t="s">
        <v>65</v>
      </c>
      <c r="D31" s="31"/>
      <c r="E31" s="30" t="s">
        <v>65</v>
      </c>
      <c r="F31" s="31"/>
      <c r="G31" s="30" t="s">
        <v>65</v>
      </c>
      <c r="H31" s="31"/>
      <c r="I31" s="30" t="s">
        <v>65</v>
      </c>
      <c r="J31" s="31"/>
      <c r="K31" s="30" t="s">
        <v>65</v>
      </c>
      <c r="L31" s="31"/>
      <c r="M31" s="30" t="s">
        <v>65</v>
      </c>
      <c r="N31" s="31"/>
      <c r="O31" s="30" t="s">
        <v>65</v>
      </c>
      <c r="P31" s="31"/>
      <c r="Q31" s="30" t="s">
        <v>65</v>
      </c>
      <c r="R31" s="31"/>
      <c r="S31" s="30" t="s">
        <v>65</v>
      </c>
      <c r="T31" s="31"/>
      <c r="U31" s="30">
        <v>80.885999999999996</v>
      </c>
      <c r="V31" s="31">
        <v>0.17</v>
      </c>
      <c r="W31" s="30">
        <v>82.891999999999996</v>
      </c>
      <c r="X31" s="31">
        <v>0.17</v>
      </c>
      <c r="Y31" s="30">
        <v>146.27199999999999</v>
      </c>
      <c r="Z31" s="31">
        <v>0.16</v>
      </c>
      <c r="AA31" s="30">
        <v>73.459999999999994</v>
      </c>
      <c r="AB31" s="31">
        <v>0.16000731860319201</v>
      </c>
      <c r="AC31" s="30">
        <v>73.694999999999993</v>
      </c>
      <c r="AD31" s="31">
        <v>0.17</v>
      </c>
      <c r="AE31" s="30">
        <v>72.400000000000006</v>
      </c>
      <c r="AF31" s="31">
        <v>0.16</v>
      </c>
      <c r="AG31" s="30">
        <v>91.8</v>
      </c>
      <c r="AH31" s="31">
        <v>0.18</v>
      </c>
    </row>
    <row r="32" spans="1:34" x14ac:dyDescent="0.3">
      <c r="A32" s="10" t="s">
        <v>584</v>
      </c>
      <c r="B32" s="10"/>
      <c r="C32" s="30" t="s">
        <v>65</v>
      </c>
      <c r="D32" s="31"/>
      <c r="E32" s="30" t="s">
        <v>65</v>
      </c>
      <c r="F32" s="31"/>
      <c r="G32" s="30" t="s">
        <v>65</v>
      </c>
      <c r="H32" s="31"/>
      <c r="I32" s="30" t="s">
        <v>65</v>
      </c>
      <c r="J32" s="31"/>
      <c r="K32" s="30" t="s">
        <v>65</v>
      </c>
      <c r="L32" s="31"/>
      <c r="M32" s="30" t="s">
        <v>65</v>
      </c>
      <c r="N32" s="31"/>
      <c r="O32" s="30" t="s">
        <v>65</v>
      </c>
      <c r="P32" s="31"/>
      <c r="Q32" s="30" t="s">
        <v>65</v>
      </c>
      <c r="R32" s="31"/>
      <c r="S32" s="30" t="s">
        <v>65</v>
      </c>
      <c r="T32" s="31"/>
      <c r="U32" s="30">
        <v>142.74</v>
      </c>
      <c r="V32" s="31">
        <v>0.3</v>
      </c>
      <c r="W32" s="30">
        <v>102.396</v>
      </c>
      <c r="X32" s="31">
        <v>0.21</v>
      </c>
      <c r="Y32" s="30">
        <v>201.124</v>
      </c>
      <c r="Z32" s="31">
        <v>0.22</v>
      </c>
      <c r="AA32" s="30">
        <v>197.42</v>
      </c>
      <c r="AB32" s="31">
        <v>0.43001150066215899</v>
      </c>
      <c r="AC32" s="30">
        <v>170.58500000000001</v>
      </c>
      <c r="AD32" s="31">
        <v>0.39350634371395599</v>
      </c>
      <c r="AE32" s="30">
        <v>230.77500000000001</v>
      </c>
      <c r="AF32" s="31">
        <v>0.51</v>
      </c>
      <c r="AG32" s="30">
        <v>290.7</v>
      </c>
      <c r="AH32" s="31">
        <v>0.56999999999999995</v>
      </c>
    </row>
    <row r="33" spans="1:34" x14ac:dyDescent="0.3">
      <c r="A33" s="7" t="s">
        <v>90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60"/>
  <sheetViews>
    <sheetView workbookViewId="0">
      <selection activeCell="M16" sqref="M16"/>
    </sheetView>
  </sheetViews>
  <sheetFormatPr defaultRowHeight="14.4" x14ac:dyDescent="0.3"/>
  <cols>
    <col min="1" max="1" width="35.109375" customWidth="1"/>
    <col min="2" max="2" width="0" hidden="1" customWidth="1"/>
    <col min="3" max="19" width="11.88671875" customWidth="1"/>
  </cols>
  <sheetData>
    <row r="1" spans="1:1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" x14ac:dyDescent="0.3">
      <c r="A2" s="8" t="s">
        <v>588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3" t="s">
        <v>1</v>
      </c>
      <c r="B4" s="3"/>
      <c r="C4" s="4" t="s">
        <v>258</v>
      </c>
      <c r="D4" s="4" t="s">
        <v>259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</row>
    <row r="5" spans="1:19" x14ac:dyDescent="0.3">
      <c r="A5" s="9" t="s">
        <v>20</v>
      </c>
      <c r="B5" s="9"/>
      <c r="C5" s="5" t="s">
        <v>261</v>
      </c>
      <c r="D5" s="5" t="s">
        <v>262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31</v>
      </c>
      <c r="P5" s="5" t="s">
        <v>32</v>
      </c>
      <c r="Q5" s="5" t="s">
        <v>33</v>
      </c>
      <c r="R5" s="5" t="s">
        <v>34</v>
      </c>
      <c r="S5" s="5" t="s">
        <v>35</v>
      </c>
    </row>
    <row r="6" spans="1:19" x14ac:dyDescent="0.3">
      <c r="A6" s="10" t="s">
        <v>589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x14ac:dyDescent="0.3">
      <c r="A7" s="10" t="s">
        <v>590</v>
      </c>
      <c r="B7" s="10" t="s">
        <v>591</v>
      </c>
      <c r="C7" s="14" t="s">
        <v>65</v>
      </c>
      <c r="D7" s="14" t="s">
        <v>65</v>
      </c>
      <c r="E7" s="14" t="s">
        <v>65</v>
      </c>
      <c r="F7" s="14" t="s">
        <v>65</v>
      </c>
      <c r="G7" s="14" t="s">
        <v>65</v>
      </c>
      <c r="H7" s="14" t="s">
        <v>65</v>
      </c>
      <c r="I7" s="14" t="s">
        <v>65</v>
      </c>
      <c r="J7" s="14">
        <v>2.93</v>
      </c>
      <c r="K7" s="14">
        <v>3.11</v>
      </c>
      <c r="L7" s="14">
        <v>3.23</v>
      </c>
      <c r="M7" s="14">
        <v>3.56</v>
      </c>
      <c r="N7" s="14">
        <v>3.7</v>
      </c>
      <c r="O7" s="14">
        <v>5.95</v>
      </c>
      <c r="P7" s="14">
        <v>5.85</v>
      </c>
      <c r="Q7" s="14">
        <v>6.13</v>
      </c>
      <c r="R7" s="14" t="s">
        <v>65</v>
      </c>
      <c r="S7" s="14" t="s">
        <v>65</v>
      </c>
    </row>
    <row r="8" spans="1:19" x14ac:dyDescent="0.3">
      <c r="A8" s="10" t="s">
        <v>592</v>
      </c>
      <c r="B8" s="10" t="s">
        <v>593</v>
      </c>
      <c r="C8" s="14" t="s">
        <v>65</v>
      </c>
      <c r="D8" s="14" t="s">
        <v>65</v>
      </c>
      <c r="E8" s="14" t="s">
        <v>65</v>
      </c>
      <c r="F8" s="14" t="s">
        <v>65</v>
      </c>
      <c r="G8" s="14" t="s">
        <v>65</v>
      </c>
      <c r="H8" s="14" t="s">
        <v>65</v>
      </c>
      <c r="I8" s="14" t="s">
        <v>65</v>
      </c>
      <c r="J8" s="14">
        <v>2.4300000000000002</v>
      </c>
      <c r="K8" s="14">
        <v>2.73</v>
      </c>
      <c r="L8" s="14">
        <v>2.92</v>
      </c>
      <c r="M8" s="14">
        <v>2.79</v>
      </c>
      <c r="N8" s="14">
        <v>3.37</v>
      </c>
      <c r="O8" s="14">
        <v>4.3499999999999996</v>
      </c>
      <c r="P8" s="14">
        <v>4.75</v>
      </c>
      <c r="Q8" s="14">
        <v>5.0599999999999996</v>
      </c>
      <c r="R8" s="14" t="s">
        <v>65</v>
      </c>
      <c r="S8" s="14" t="s">
        <v>65</v>
      </c>
    </row>
    <row r="9" spans="1:19" x14ac:dyDescent="0.3">
      <c r="A9" s="10" t="s">
        <v>594</v>
      </c>
      <c r="B9" s="10" t="s">
        <v>595</v>
      </c>
      <c r="C9" s="14" t="s">
        <v>65</v>
      </c>
      <c r="D9" s="14" t="s">
        <v>65</v>
      </c>
      <c r="E9" s="14" t="s">
        <v>65</v>
      </c>
      <c r="F9" s="14" t="s">
        <v>65</v>
      </c>
      <c r="G9" s="14" t="s">
        <v>65</v>
      </c>
      <c r="H9" s="14" t="s">
        <v>65</v>
      </c>
      <c r="I9" s="14" t="s">
        <v>65</v>
      </c>
      <c r="J9" s="14">
        <v>1.54</v>
      </c>
      <c r="K9" s="14">
        <v>1.67</v>
      </c>
      <c r="L9" s="14">
        <v>1.72</v>
      </c>
      <c r="M9" s="14">
        <v>2.44</v>
      </c>
      <c r="N9" s="14">
        <v>2.44</v>
      </c>
      <c r="O9" s="14">
        <v>6.68</v>
      </c>
      <c r="P9" s="14">
        <v>6.26</v>
      </c>
      <c r="Q9" s="14">
        <v>6.31</v>
      </c>
      <c r="R9" s="14" t="s">
        <v>65</v>
      </c>
      <c r="S9" s="14" t="s">
        <v>65</v>
      </c>
    </row>
    <row r="10" spans="1:19" x14ac:dyDescent="0.3">
      <c r="A10" s="10" t="s">
        <v>596</v>
      </c>
      <c r="B10" s="10" t="s">
        <v>597</v>
      </c>
      <c r="C10" s="14" t="s">
        <v>65</v>
      </c>
      <c r="D10" s="14" t="s">
        <v>65</v>
      </c>
      <c r="E10" s="14" t="s">
        <v>65</v>
      </c>
      <c r="F10" s="14" t="s">
        <v>65</v>
      </c>
      <c r="G10" s="14" t="s">
        <v>65</v>
      </c>
      <c r="H10" s="14" t="s">
        <v>65</v>
      </c>
      <c r="I10" s="14" t="s">
        <v>65</v>
      </c>
      <c r="J10" s="14">
        <v>6.65</v>
      </c>
      <c r="K10" s="14">
        <v>6.73</v>
      </c>
      <c r="L10" s="14">
        <v>6.92</v>
      </c>
      <c r="M10" s="14">
        <v>6.8</v>
      </c>
      <c r="N10" s="14">
        <v>6.69</v>
      </c>
      <c r="O10" s="14">
        <v>6.47</v>
      </c>
      <c r="P10" s="14">
        <v>6.35</v>
      </c>
      <c r="Q10" s="14">
        <v>6.98</v>
      </c>
      <c r="R10" s="14" t="s">
        <v>65</v>
      </c>
      <c r="S10" s="14" t="s">
        <v>65</v>
      </c>
    </row>
    <row r="11" spans="1:19" x14ac:dyDescent="0.3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x14ac:dyDescent="0.3">
      <c r="A12" s="10" t="s">
        <v>598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3">
      <c r="A13" s="10" t="s">
        <v>599</v>
      </c>
      <c r="B13" s="10" t="s">
        <v>600</v>
      </c>
      <c r="C13" s="14">
        <v>28.689299999999999</v>
      </c>
      <c r="D13" s="14">
        <v>29.4739</v>
      </c>
      <c r="E13" s="14">
        <v>29.584499999999998</v>
      </c>
      <c r="F13" s="14">
        <v>31.6769</v>
      </c>
      <c r="G13" s="14">
        <v>33.175699999999999</v>
      </c>
      <c r="H13" s="14">
        <v>47.067700000000002</v>
      </c>
      <c r="I13" s="14">
        <v>50.115699999999997</v>
      </c>
      <c r="J13" s="14">
        <v>50.658900000000003</v>
      </c>
      <c r="K13" s="14">
        <v>55.5276</v>
      </c>
      <c r="L13" s="14">
        <v>54.531700000000001</v>
      </c>
      <c r="M13" s="14">
        <v>57.398699999999998</v>
      </c>
      <c r="N13" s="14">
        <v>63.313499999999998</v>
      </c>
      <c r="O13" s="14">
        <v>68.504199999999997</v>
      </c>
      <c r="P13" s="14">
        <v>66.703599999999994</v>
      </c>
      <c r="Q13" s="14">
        <v>66.623099999999994</v>
      </c>
      <c r="R13" s="14" t="s">
        <v>65</v>
      </c>
      <c r="S13" s="14" t="s">
        <v>65</v>
      </c>
    </row>
    <row r="14" spans="1:19" x14ac:dyDescent="0.3">
      <c r="A14" s="10" t="s">
        <v>601</v>
      </c>
      <c r="B14" s="10" t="s">
        <v>602</v>
      </c>
      <c r="C14" s="14">
        <v>0</v>
      </c>
      <c r="D14" s="14">
        <v>0.48320000000000002</v>
      </c>
      <c r="E14" s="14">
        <v>0.8155</v>
      </c>
      <c r="F14" s="14">
        <v>2.0840000000000001</v>
      </c>
      <c r="G14" s="14">
        <v>3.8054999999999999</v>
      </c>
      <c r="H14" s="14">
        <v>34.007899999999999</v>
      </c>
      <c r="I14" s="14">
        <v>40.591999999999999</v>
      </c>
      <c r="J14" s="14">
        <v>40.259700000000002</v>
      </c>
      <c r="K14" s="14">
        <v>43.702800000000003</v>
      </c>
      <c r="L14" s="14">
        <v>43.400799999999997</v>
      </c>
      <c r="M14" s="14">
        <v>43.400799999999997</v>
      </c>
      <c r="N14" s="14">
        <v>54.877699999999997</v>
      </c>
      <c r="O14" s="14">
        <v>70.462100000000007</v>
      </c>
      <c r="P14" s="14">
        <v>64.028999999999996</v>
      </c>
      <c r="Q14" s="14">
        <v>63.787399999999998</v>
      </c>
      <c r="R14" s="14" t="s">
        <v>65</v>
      </c>
      <c r="S14" s="14" t="s">
        <v>65</v>
      </c>
    </row>
    <row r="15" spans="1:19" x14ac:dyDescent="0.3">
      <c r="A15" s="10" t="s">
        <v>603</v>
      </c>
      <c r="B15" s="10" t="s">
        <v>604</v>
      </c>
      <c r="C15" s="14">
        <v>5.3506999999999998</v>
      </c>
      <c r="D15" s="14">
        <v>7.2248999999999999</v>
      </c>
      <c r="E15" s="14">
        <v>7.2248999999999999</v>
      </c>
      <c r="F15" s="14">
        <v>7.2248999999999999</v>
      </c>
      <c r="G15" s="14">
        <v>10.006</v>
      </c>
      <c r="H15" s="14">
        <v>21.523599999999998</v>
      </c>
      <c r="I15" s="14">
        <v>24.0931</v>
      </c>
      <c r="J15" s="14">
        <v>24.0931</v>
      </c>
      <c r="K15" s="14">
        <v>28.990300000000001</v>
      </c>
      <c r="L15" s="14">
        <v>32.587699999999998</v>
      </c>
      <c r="M15" s="14">
        <v>41.203099999999999</v>
      </c>
      <c r="N15" s="14">
        <v>41.203099999999999</v>
      </c>
      <c r="O15" s="14">
        <v>41.203099999999999</v>
      </c>
      <c r="P15" s="14">
        <v>42.231000000000002</v>
      </c>
      <c r="Q15" s="14">
        <v>42.231000000000002</v>
      </c>
      <c r="R15" s="14" t="s">
        <v>65</v>
      </c>
      <c r="S15" s="14" t="s">
        <v>65</v>
      </c>
    </row>
    <row r="16" spans="1:19" x14ac:dyDescent="0.3">
      <c r="A16" s="10" t="s">
        <v>605</v>
      </c>
      <c r="B16" s="10" t="s">
        <v>606</v>
      </c>
      <c r="C16" s="14">
        <v>80.523799999999994</v>
      </c>
      <c r="D16" s="14">
        <v>80.523799999999994</v>
      </c>
      <c r="E16" s="14">
        <v>80.523799999999994</v>
      </c>
      <c r="F16" s="14">
        <v>85.520799999999994</v>
      </c>
      <c r="G16" s="14">
        <v>85.520799999999994</v>
      </c>
      <c r="H16" s="14">
        <v>85.520799999999994</v>
      </c>
      <c r="I16" s="14">
        <v>85.520799999999994</v>
      </c>
      <c r="J16" s="14">
        <v>87.477400000000003</v>
      </c>
      <c r="K16" s="14">
        <v>93.738699999999994</v>
      </c>
      <c r="L16" s="14">
        <v>87.477400000000003</v>
      </c>
      <c r="M16" s="14">
        <v>87.477400000000003</v>
      </c>
      <c r="N16" s="14">
        <v>93.738699999999994</v>
      </c>
      <c r="O16" s="14">
        <v>93.738699999999994</v>
      </c>
      <c r="P16" s="14">
        <v>93.738699999999994</v>
      </c>
      <c r="Q16" s="14">
        <v>93.738699999999994</v>
      </c>
      <c r="R16" s="14" t="s">
        <v>65</v>
      </c>
      <c r="S16" s="14" t="s">
        <v>65</v>
      </c>
    </row>
    <row r="17" spans="1:19" x14ac:dyDescent="0.3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x14ac:dyDescent="0.3">
      <c r="A18" s="6" t="s">
        <v>607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spans="1:19" x14ac:dyDescent="0.3">
      <c r="A19" s="10" t="s">
        <v>608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x14ac:dyDescent="0.3">
      <c r="A20" s="10" t="s">
        <v>609</v>
      </c>
      <c r="B20" s="10" t="s">
        <v>610</v>
      </c>
      <c r="C20" s="13" t="s">
        <v>65</v>
      </c>
      <c r="D20" s="13" t="s">
        <v>65</v>
      </c>
      <c r="E20" s="13" t="s">
        <v>65</v>
      </c>
      <c r="F20" s="13" t="s">
        <v>65</v>
      </c>
      <c r="G20" s="13" t="s">
        <v>65</v>
      </c>
      <c r="H20" s="13" t="s">
        <v>65</v>
      </c>
      <c r="I20" s="13" t="s">
        <v>65</v>
      </c>
      <c r="J20" s="13" t="s">
        <v>65</v>
      </c>
      <c r="K20" s="13" t="s">
        <v>65</v>
      </c>
      <c r="L20" s="13" t="s">
        <v>65</v>
      </c>
      <c r="M20" s="13" t="s">
        <v>65</v>
      </c>
      <c r="N20" s="13">
        <v>3.0000000000000001E-3</v>
      </c>
      <c r="O20" s="13">
        <v>2E-3</v>
      </c>
      <c r="P20" s="13">
        <v>1E-3</v>
      </c>
      <c r="Q20" s="13">
        <v>8.0000000000000002E-3</v>
      </c>
      <c r="R20" s="13">
        <v>2.7E-2</v>
      </c>
      <c r="S20" s="13" t="s">
        <v>65</v>
      </c>
    </row>
    <row r="21" spans="1:19" x14ac:dyDescent="0.3">
      <c r="A21" s="10" t="s">
        <v>611</v>
      </c>
      <c r="B21" s="10" t="s">
        <v>612</v>
      </c>
      <c r="C21" s="13" t="s">
        <v>65</v>
      </c>
      <c r="D21" s="13" t="s">
        <v>65</v>
      </c>
      <c r="E21" s="13" t="s">
        <v>65</v>
      </c>
      <c r="F21" s="13" t="s">
        <v>65</v>
      </c>
      <c r="G21" s="13" t="s">
        <v>65</v>
      </c>
      <c r="H21" s="13" t="s">
        <v>65</v>
      </c>
      <c r="I21" s="13" t="s">
        <v>65</v>
      </c>
      <c r="J21" s="13" t="s">
        <v>65</v>
      </c>
      <c r="K21" s="13" t="s">
        <v>65</v>
      </c>
      <c r="L21" s="13" t="s">
        <v>65</v>
      </c>
      <c r="M21" s="13" t="s">
        <v>65</v>
      </c>
      <c r="N21" s="13">
        <v>1.6E-2</v>
      </c>
      <c r="O21" s="13">
        <v>4.0000000000000001E-3</v>
      </c>
      <c r="P21" s="13">
        <v>5.0000000000000001E-3</v>
      </c>
      <c r="Q21" s="13">
        <v>4.0000000000000001E-3</v>
      </c>
      <c r="R21" s="13">
        <v>4.0000000000000001E-3</v>
      </c>
      <c r="S21" s="13" t="s">
        <v>65</v>
      </c>
    </row>
    <row r="22" spans="1:19" x14ac:dyDescent="0.3">
      <c r="A22" s="10" t="s">
        <v>613</v>
      </c>
      <c r="B22" s="10" t="s">
        <v>614</v>
      </c>
      <c r="C22" s="13" t="s">
        <v>65</v>
      </c>
      <c r="D22" s="13" t="s">
        <v>65</v>
      </c>
      <c r="E22" s="13" t="s">
        <v>65</v>
      </c>
      <c r="F22" s="13" t="s">
        <v>65</v>
      </c>
      <c r="G22" s="13" t="s">
        <v>65</v>
      </c>
      <c r="H22" s="13" t="s">
        <v>65</v>
      </c>
      <c r="I22" s="13" t="s">
        <v>65</v>
      </c>
      <c r="J22" s="13" t="s">
        <v>65</v>
      </c>
      <c r="K22" s="13" t="s">
        <v>65</v>
      </c>
      <c r="L22" s="13" t="s">
        <v>65</v>
      </c>
      <c r="M22" s="13" t="s">
        <v>65</v>
      </c>
      <c r="N22" s="13">
        <v>1E-3</v>
      </c>
      <c r="O22" s="13">
        <v>2E-3</v>
      </c>
      <c r="P22" s="13">
        <v>0</v>
      </c>
      <c r="Q22" s="13">
        <v>0</v>
      </c>
      <c r="R22" s="13">
        <v>0</v>
      </c>
      <c r="S22" s="13" t="s">
        <v>65</v>
      </c>
    </row>
    <row r="23" spans="1:19" x14ac:dyDescent="0.3">
      <c r="A23" s="10" t="s">
        <v>615</v>
      </c>
      <c r="B23" s="10" t="s">
        <v>616</v>
      </c>
      <c r="C23" s="13" t="s">
        <v>65</v>
      </c>
      <c r="D23" s="13" t="s">
        <v>65</v>
      </c>
      <c r="E23" s="13" t="s">
        <v>65</v>
      </c>
      <c r="F23" s="13" t="s">
        <v>65</v>
      </c>
      <c r="G23" s="13" t="s">
        <v>65</v>
      </c>
      <c r="H23" s="13" t="s">
        <v>65</v>
      </c>
      <c r="I23" s="13" t="s">
        <v>65</v>
      </c>
      <c r="J23" s="13" t="s">
        <v>65</v>
      </c>
      <c r="K23" s="13" t="s">
        <v>65</v>
      </c>
      <c r="L23" s="13" t="s">
        <v>65</v>
      </c>
      <c r="M23" s="13" t="s">
        <v>65</v>
      </c>
      <c r="N23" s="13">
        <v>0</v>
      </c>
      <c r="O23" s="13">
        <v>5.0000000000000001E-4</v>
      </c>
      <c r="P23" s="13">
        <v>0</v>
      </c>
      <c r="Q23" s="13">
        <v>0</v>
      </c>
      <c r="R23" s="13">
        <v>2.0500000000000001E-2</v>
      </c>
      <c r="S23" s="13" t="s">
        <v>65</v>
      </c>
    </row>
    <row r="24" spans="1:19" x14ac:dyDescent="0.3">
      <c r="A24" s="10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x14ac:dyDescent="0.3">
      <c r="A25" s="10" t="s">
        <v>617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x14ac:dyDescent="0.3">
      <c r="A26" s="10" t="s">
        <v>618</v>
      </c>
      <c r="B26" s="10" t="s">
        <v>619</v>
      </c>
      <c r="C26" s="12" t="s">
        <v>78</v>
      </c>
      <c r="D26" s="12" t="s">
        <v>78</v>
      </c>
      <c r="E26" s="12" t="s">
        <v>79</v>
      </c>
      <c r="F26" s="12" t="s">
        <v>79</v>
      </c>
      <c r="G26" s="12" t="s">
        <v>79</v>
      </c>
      <c r="H26" s="12" t="s">
        <v>79</v>
      </c>
      <c r="I26" s="12" t="s">
        <v>79</v>
      </c>
      <c r="J26" s="12" t="s">
        <v>79</v>
      </c>
      <c r="K26" s="12" t="s">
        <v>79</v>
      </c>
      <c r="L26" s="12" t="s">
        <v>79</v>
      </c>
      <c r="M26" s="12" t="s">
        <v>79</v>
      </c>
      <c r="N26" s="12" t="s">
        <v>79</v>
      </c>
      <c r="O26" s="12" t="s">
        <v>79</v>
      </c>
      <c r="P26" s="12" t="s">
        <v>79</v>
      </c>
      <c r="Q26" s="12" t="s">
        <v>79</v>
      </c>
      <c r="R26" s="12" t="s">
        <v>79</v>
      </c>
      <c r="S26" s="12" t="s">
        <v>79</v>
      </c>
    </row>
    <row r="27" spans="1:19" x14ac:dyDescent="0.3">
      <c r="A27" s="10" t="s">
        <v>620</v>
      </c>
      <c r="B27" s="10" t="s">
        <v>621</v>
      </c>
      <c r="C27" s="12" t="s">
        <v>622</v>
      </c>
      <c r="D27" s="12" t="s">
        <v>622</v>
      </c>
      <c r="E27" s="12" t="s">
        <v>622</v>
      </c>
      <c r="F27" s="12" t="s">
        <v>622</v>
      </c>
      <c r="G27" s="12" t="s">
        <v>622</v>
      </c>
      <c r="H27" s="12" t="s">
        <v>622</v>
      </c>
      <c r="I27" s="12" t="s">
        <v>622</v>
      </c>
      <c r="J27" s="12" t="s">
        <v>622</v>
      </c>
      <c r="K27" s="12" t="s">
        <v>622</v>
      </c>
      <c r="L27" s="12" t="s">
        <v>622</v>
      </c>
      <c r="M27" s="12" t="s">
        <v>622</v>
      </c>
      <c r="N27" s="12" t="s">
        <v>622</v>
      </c>
      <c r="O27" s="12" t="s">
        <v>622</v>
      </c>
      <c r="P27" s="12" t="s">
        <v>622</v>
      </c>
      <c r="Q27" s="12" t="s">
        <v>78</v>
      </c>
      <c r="R27" s="12" t="s">
        <v>78</v>
      </c>
      <c r="S27" s="12" t="s">
        <v>622</v>
      </c>
    </row>
    <row r="28" spans="1:19" x14ac:dyDescent="0.3">
      <c r="A28" s="10" t="s">
        <v>623</v>
      </c>
      <c r="B28" s="10" t="s">
        <v>624</v>
      </c>
      <c r="C28" s="12" t="s">
        <v>78</v>
      </c>
      <c r="D28" s="12" t="s">
        <v>78</v>
      </c>
      <c r="E28" s="12" t="s">
        <v>78</v>
      </c>
      <c r="F28" s="12" t="s">
        <v>78</v>
      </c>
      <c r="G28" s="12" t="s">
        <v>78</v>
      </c>
      <c r="H28" s="12" t="s">
        <v>79</v>
      </c>
      <c r="I28" s="12" t="s">
        <v>79</v>
      </c>
      <c r="J28" s="12" t="s">
        <v>78</v>
      </c>
      <c r="K28" s="12" t="s">
        <v>78</v>
      </c>
      <c r="L28" s="12" t="s">
        <v>78</v>
      </c>
      <c r="M28" s="12" t="s">
        <v>78</v>
      </c>
      <c r="N28" s="12" t="s">
        <v>78</v>
      </c>
      <c r="O28" s="12" t="s">
        <v>79</v>
      </c>
      <c r="P28" s="12" t="s">
        <v>79</v>
      </c>
      <c r="Q28" s="12" t="s">
        <v>79</v>
      </c>
      <c r="R28" s="12" t="s">
        <v>79</v>
      </c>
      <c r="S28" s="12" t="s">
        <v>79</v>
      </c>
    </row>
    <row r="29" spans="1:19" x14ac:dyDescent="0.3">
      <c r="A29" s="10" t="s">
        <v>625</v>
      </c>
      <c r="B29" s="10" t="s">
        <v>626</v>
      </c>
      <c r="C29" s="12" t="s">
        <v>78</v>
      </c>
      <c r="D29" s="12" t="s">
        <v>78</v>
      </c>
      <c r="E29" s="12" t="s">
        <v>78</v>
      </c>
      <c r="F29" s="12" t="s">
        <v>78</v>
      </c>
      <c r="G29" s="12" t="s">
        <v>78</v>
      </c>
      <c r="H29" s="12" t="s">
        <v>78</v>
      </c>
      <c r="I29" s="12" t="s">
        <v>78</v>
      </c>
      <c r="J29" s="12" t="s">
        <v>78</v>
      </c>
      <c r="K29" s="12" t="s">
        <v>78</v>
      </c>
      <c r="L29" s="12" t="s">
        <v>78</v>
      </c>
      <c r="M29" s="12" t="s">
        <v>78</v>
      </c>
      <c r="N29" s="12" t="s">
        <v>78</v>
      </c>
      <c r="O29" s="12" t="s">
        <v>78</v>
      </c>
      <c r="P29" s="12" t="s">
        <v>78</v>
      </c>
      <c r="Q29" s="12" t="s">
        <v>78</v>
      </c>
      <c r="R29" s="12" t="s">
        <v>78</v>
      </c>
      <c r="S29" s="12" t="s">
        <v>78</v>
      </c>
    </row>
    <row r="30" spans="1:19" x14ac:dyDescent="0.3">
      <c r="A30" s="10" t="s">
        <v>627</v>
      </c>
      <c r="B30" s="10" t="s">
        <v>628</v>
      </c>
      <c r="C30" s="12" t="s">
        <v>78</v>
      </c>
      <c r="D30" s="12" t="s">
        <v>78</v>
      </c>
      <c r="E30" s="12" t="s">
        <v>78</v>
      </c>
      <c r="F30" s="12" t="s">
        <v>78</v>
      </c>
      <c r="G30" s="12" t="s">
        <v>78</v>
      </c>
      <c r="H30" s="12" t="s">
        <v>78</v>
      </c>
      <c r="I30" s="12" t="s">
        <v>78</v>
      </c>
      <c r="J30" s="12" t="s">
        <v>78</v>
      </c>
      <c r="K30" s="12" t="s">
        <v>78</v>
      </c>
      <c r="L30" s="12" t="s">
        <v>78</v>
      </c>
      <c r="M30" s="12" t="s">
        <v>78</v>
      </c>
      <c r="N30" s="12" t="s">
        <v>78</v>
      </c>
      <c r="O30" s="12" t="s">
        <v>78</v>
      </c>
      <c r="P30" s="12" t="s">
        <v>79</v>
      </c>
      <c r="Q30" s="12" t="s">
        <v>79</v>
      </c>
      <c r="R30" s="12" t="s">
        <v>79</v>
      </c>
      <c r="S30" s="12" t="s">
        <v>79</v>
      </c>
    </row>
    <row r="31" spans="1:19" x14ac:dyDescent="0.3">
      <c r="A31" s="10" t="s">
        <v>629</v>
      </c>
      <c r="B31" s="10" t="s">
        <v>630</v>
      </c>
      <c r="C31" s="13" t="s">
        <v>65</v>
      </c>
      <c r="D31" s="13" t="s">
        <v>65</v>
      </c>
      <c r="E31" s="13" t="s">
        <v>65</v>
      </c>
      <c r="F31" s="13" t="s">
        <v>65</v>
      </c>
      <c r="G31" s="13" t="s">
        <v>65</v>
      </c>
      <c r="H31" s="13" t="s">
        <v>65</v>
      </c>
      <c r="I31" s="13" t="s">
        <v>65</v>
      </c>
      <c r="J31" s="13" t="s">
        <v>65</v>
      </c>
      <c r="K31" s="13" t="s">
        <v>65</v>
      </c>
      <c r="L31" s="13" t="s">
        <v>65</v>
      </c>
      <c r="M31" s="13" t="s">
        <v>65</v>
      </c>
      <c r="N31" s="13" t="s">
        <v>65</v>
      </c>
      <c r="O31" s="13" t="s">
        <v>65</v>
      </c>
      <c r="P31" s="13" t="s">
        <v>65</v>
      </c>
      <c r="Q31" s="13">
        <v>9.8369999999999997</v>
      </c>
      <c r="R31" s="13">
        <v>3.7480000000000002</v>
      </c>
      <c r="S31" s="13" t="s">
        <v>65</v>
      </c>
    </row>
    <row r="32" spans="1:19" x14ac:dyDescent="0.3">
      <c r="A32" s="10" t="s">
        <v>631</v>
      </c>
      <c r="B32" s="10" t="s">
        <v>632</v>
      </c>
      <c r="C32" s="13" t="s">
        <v>65</v>
      </c>
      <c r="D32" s="13" t="s">
        <v>65</v>
      </c>
      <c r="E32" s="13" t="s">
        <v>65</v>
      </c>
      <c r="F32" s="13" t="s">
        <v>65</v>
      </c>
      <c r="G32" s="13" t="s">
        <v>65</v>
      </c>
      <c r="H32" s="13">
        <v>8.9700000000000006</v>
      </c>
      <c r="I32" s="13">
        <v>7.5119999999999996</v>
      </c>
      <c r="J32" s="13">
        <v>8.3309999999999995</v>
      </c>
      <c r="K32" s="13">
        <v>7.9969999999999999</v>
      </c>
      <c r="L32" s="13">
        <v>8.3209999999999997</v>
      </c>
      <c r="M32" s="13">
        <v>8.8670000000000009</v>
      </c>
      <c r="N32" s="13">
        <v>6.0839999999999996</v>
      </c>
      <c r="O32" s="13">
        <v>8.9250000000000007</v>
      </c>
      <c r="P32" s="13">
        <v>13.57</v>
      </c>
      <c r="Q32" s="13">
        <v>9.86</v>
      </c>
      <c r="R32" s="13">
        <v>3.7589999999999999</v>
      </c>
      <c r="S32" s="13" t="s">
        <v>65</v>
      </c>
    </row>
    <row r="33" spans="1:19" x14ac:dyDescent="0.3">
      <c r="A33" s="10" t="s">
        <v>633</v>
      </c>
      <c r="B33" s="10" t="s">
        <v>634</v>
      </c>
      <c r="C33" s="13" t="s">
        <v>65</v>
      </c>
      <c r="D33" s="13" t="s">
        <v>65</v>
      </c>
      <c r="E33" s="13" t="s">
        <v>65</v>
      </c>
      <c r="F33" s="13" t="s">
        <v>65</v>
      </c>
      <c r="G33" s="13" t="s">
        <v>65</v>
      </c>
      <c r="H33" s="13">
        <v>185.58500000000001</v>
      </c>
      <c r="I33" s="13">
        <v>182.92500000000001</v>
      </c>
      <c r="J33" s="13">
        <v>174.74199999999999</v>
      </c>
      <c r="K33" s="13">
        <v>187.73599999999999</v>
      </c>
      <c r="L33" s="13">
        <v>180.54499999999999</v>
      </c>
      <c r="M33" s="13">
        <v>174.505</v>
      </c>
      <c r="N33" s="13">
        <v>163.209</v>
      </c>
      <c r="O33" s="13">
        <v>140.762</v>
      </c>
      <c r="P33" s="13">
        <v>125.627</v>
      </c>
      <c r="Q33" s="13">
        <v>135.471</v>
      </c>
      <c r="R33" s="13">
        <v>141.34399999999999</v>
      </c>
      <c r="S33" s="13" t="s">
        <v>65</v>
      </c>
    </row>
    <row r="34" spans="1:19" x14ac:dyDescent="0.3">
      <c r="A34" s="10" t="s">
        <v>635</v>
      </c>
      <c r="B34" s="10" t="s">
        <v>636</v>
      </c>
      <c r="C34" s="13" t="s">
        <v>65</v>
      </c>
      <c r="D34" s="13" t="s">
        <v>65</v>
      </c>
      <c r="E34" s="13" t="s">
        <v>65</v>
      </c>
      <c r="F34" s="13" t="s">
        <v>65</v>
      </c>
      <c r="G34" s="13" t="s">
        <v>65</v>
      </c>
      <c r="H34" s="13" t="s">
        <v>65</v>
      </c>
      <c r="I34" s="13" t="s">
        <v>65</v>
      </c>
      <c r="J34" s="13" t="s">
        <v>65</v>
      </c>
      <c r="K34" s="13" t="s">
        <v>65</v>
      </c>
      <c r="L34" s="13">
        <v>182.75899999999999</v>
      </c>
      <c r="M34" s="13">
        <v>175.15700000000001</v>
      </c>
      <c r="N34" s="13">
        <v>72.372</v>
      </c>
      <c r="O34" s="13">
        <v>52.686999999999998</v>
      </c>
      <c r="P34" s="13">
        <v>53.896000000000001</v>
      </c>
      <c r="Q34" s="13">
        <v>25.805</v>
      </c>
      <c r="R34" s="13">
        <v>20.228000000000002</v>
      </c>
      <c r="S34" s="13" t="s">
        <v>65</v>
      </c>
    </row>
    <row r="35" spans="1:19" x14ac:dyDescent="0.3">
      <c r="A35" s="10" t="s">
        <v>637</v>
      </c>
      <c r="B35" s="10" t="s">
        <v>638</v>
      </c>
      <c r="C35" s="13" t="s">
        <v>65</v>
      </c>
      <c r="D35" s="13" t="s">
        <v>65</v>
      </c>
      <c r="E35" s="13" t="s">
        <v>65</v>
      </c>
      <c r="F35" s="13" t="s">
        <v>65</v>
      </c>
      <c r="G35" s="13" t="s">
        <v>65</v>
      </c>
      <c r="H35" s="13">
        <v>4.9589999999999996</v>
      </c>
      <c r="I35" s="13">
        <v>3.55</v>
      </c>
      <c r="J35" s="13">
        <v>5.9320000000000004</v>
      </c>
      <c r="K35" s="13">
        <v>81.668000000000006</v>
      </c>
      <c r="L35" s="13">
        <v>61.052999999999997</v>
      </c>
      <c r="M35" s="13">
        <v>474.82799999999997</v>
      </c>
      <c r="N35" s="13">
        <v>1513.62</v>
      </c>
      <c r="O35" s="13">
        <v>663.274</v>
      </c>
      <c r="P35" s="13">
        <v>589.25199999999995</v>
      </c>
      <c r="Q35" s="13">
        <v>752.096</v>
      </c>
      <c r="R35" s="13">
        <v>1149.8</v>
      </c>
      <c r="S35" s="13" t="s">
        <v>65</v>
      </c>
    </row>
    <row r="36" spans="1:19" x14ac:dyDescent="0.3">
      <c r="A36" s="10" t="s">
        <v>639</v>
      </c>
      <c r="B36" s="10" t="s">
        <v>640</v>
      </c>
      <c r="C36" s="14" t="s">
        <v>65</v>
      </c>
      <c r="D36" s="14" t="s">
        <v>65</v>
      </c>
      <c r="E36" s="14" t="s">
        <v>65</v>
      </c>
      <c r="F36" s="14" t="s">
        <v>65</v>
      </c>
      <c r="G36" s="14" t="s">
        <v>65</v>
      </c>
      <c r="H36" s="14" t="s">
        <v>65</v>
      </c>
      <c r="I36" s="14">
        <v>1</v>
      </c>
      <c r="J36" s="14">
        <v>1</v>
      </c>
      <c r="K36" s="14">
        <v>1</v>
      </c>
      <c r="L36" s="14">
        <v>1</v>
      </c>
      <c r="M36" s="14">
        <v>1</v>
      </c>
      <c r="N36" s="14">
        <v>1</v>
      </c>
      <c r="O36" s="14">
        <v>1</v>
      </c>
      <c r="P36" s="14">
        <v>1</v>
      </c>
      <c r="Q36" s="14">
        <v>1</v>
      </c>
      <c r="R36" s="14">
        <v>1</v>
      </c>
      <c r="S36" s="14" t="s">
        <v>65</v>
      </c>
    </row>
    <row r="37" spans="1:19" x14ac:dyDescent="0.3">
      <c r="A37" s="10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x14ac:dyDescent="0.3">
      <c r="A38" s="10" t="s">
        <v>641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1:19" x14ac:dyDescent="0.3">
      <c r="A39" s="10" t="s">
        <v>642</v>
      </c>
      <c r="B39" s="10" t="s">
        <v>643</v>
      </c>
      <c r="C39" s="12" t="s">
        <v>78</v>
      </c>
      <c r="D39" s="12" t="s">
        <v>78</v>
      </c>
      <c r="E39" s="12" t="s">
        <v>78</v>
      </c>
      <c r="F39" s="12" t="s">
        <v>79</v>
      </c>
      <c r="G39" s="12" t="s">
        <v>79</v>
      </c>
      <c r="H39" s="12" t="s">
        <v>79</v>
      </c>
      <c r="I39" s="12" t="s">
        <v>79</v>
      </c>
      <c r="J39" s="12" t="s">
        <v>79</v>
      </c>
      <c r="K39" s="12" t="s">
        <v>79</v>
      </c>
      <c r="L39" s="12" t="s">
        <v>79</v>
      </c>
      <c r="M39" s="12" t="s">
        <v>79</v>
      </c>
      <c r="N39" s="12" t="s">
        <v>79</v>
      </c>
      <c r="O39" s="12" t="s">
        <v>79</v>
      </c>
      <c r="P39" s="12" t="s">
        <v>79</v>
      </c>
      <c r="Q39" s="12" t="s">
        <v>79</v>
      </c>
      <c r="R39" s="12" t="s">
        <v>79</v>
      </c>
      <c r="S39" s="12" t="s">
        <v>622</v>
      </c>
    </row>
    <row r="40" spans="1:19" x14ac:dyDescent="0.3">
      <c r="A40" s="10" t="s">
        <v>644</v>
      </c>
      <c r="B40" s="10" t="s">
        <v>645</v>
      </c>
      <c r="C40" s="13" t="s">
        <v>65</v>
      </c>
      <c r="D40" s="13" t="s">
        <v>65</v>
      </c>
      <c r="E40" s="13" t="s">
        <v>65</v>
      </c>
      <c r="F40" s="13" t="s">
        <v>65</v>
      </c>
      <c r="G40" s="13">
        <v>398.20100000000002</v>
      </c>
      <c r="H40" s="13">
        <v>379.11799999999999</v>
      </c>
      <c r="I40" s="13">
        <v>367.31400000000002</v>
      </c>
      <c r="J40" s="13">
        <v>375.55</v>
      </c>
      <c r="K40" s="13">
        <v>391.07799999999997</v>
      </c>
      <c r="L40" s="13">
        <v>391.91300000000001</v>
      </c>
      <c r="M40" s="13">
        <v>409.27699999999999</v>
      </c>
      <c r="N40" s="13">
        <v>368.49900000000002</v>
      </c>
      <c r="O40" s="13">
        <v>334.22399999999999</v>
      </c>
      <c r="P40" s="13">
        <v>357.99</v>
      </c>
      <c r="Q40" s="13">
        <v>338.24400000000003</v>
      </c>
      <c r="R40" s="13">
        <v>329.596</v>
      </c>
      <c r="S40" s="13" t="s">
        <v>65</v>
      </c>
    </row>
    <row r="41" spans="1:19" x14ac:dyDescent="0.3">
      <c r="A41" s="10" t="s">
        <v>646</v>
      </c>
      <c r="B41" s="10" t="s">
        <v>647</v>
      </c>
      <c r="C41" s="13" t="s">
        <v>65</v>
      </c>
      <c r="D41" s="13" t="s">
        <v>65</v>
      </c>
      <c r="E41" s="13" t="s">
        <v>65</v>
      </c>
      <c r="F41" s="13" t="s">
        <v>65</v>
      </c>
      <c r="G41" s="13" t="s">
        <v>65</v>
      </c>
      <c r="H41" s="13" t="s">
        <v>65</v>
      </c>
      <c r="I41" s="13" t="s">
        <v>65</v>
      </c>
      <c r="J41" s="13" t="s">
        <v>65</v>
      </c>
      <c r="K41" s="13">
        <v>0.55900000000000005</v>
      </c>
      <c r="L41" s="13">
        <v>9.8260000000000005</v>
      </c>
      <c r="M41" s="13">
        <v>12.63</v>
      </c>
      <c r="N41" s="13">
        <v>18.024999999999999</v>
      </c>
      <c r="O41" s="13">
        <v>29.692</v>
      </c>
      <c r="P41" s="13">
        <v>30.475000000000001</v>
      </c>
      <c r="Q41" s="13">
        <v>217.08</v>
      </c>
      <c r="R41" s="13">
        <v>256.84399999999999</v>
      </c>
      <c r="S41" s="13" t="s">
        <v>65</v>
      </c>
    </row>
    <row r="42" spans="1:19" x14ac:dyDescent="0.3">
      <c r="A42" s="10" t="s">
        <v>648</v>
      </c>
      <c r="B42" s="10" t="s">
        <v>649</v>
      </c>
      <c r="C42" s="13" t="s">
        <v>65</v>
      </c>
      <c r="D42" s="13" t="s">
        <v>65</v>
      </c>
      <c r="E42" s="13" t="s">
        <v>65</v>
      </c>
      <c r="F42" s="13" t="s">
        <v>65</v>
      </c>
      <c r="G42" s="13" t="s">
        <v>65</v>
      </c>
      <c r="H42" s="13" t="s">
        <v>65</v>
      </c>
      <c r="I42" s="13">
        <v>334.26100000000002</v>
      </c>
      <c r="J42" s="13">
        <v>335.23099999999999</v>
      </c>
      <c r="K42" s="13">
        <v>351.62599999999998</v>
      </c>
      <c r="L42" s="13">
        <v>346.48899999999998</v>
      </c>
      <c r="M42" s="13">
        <v>357.45400000000001</v>
      </c>
      <c r="N42" s="13">
        <v>319.93400000000003</v>
      </c>
      <c r="O42" s="13">
        <v>257.52999999999997</v>
      </c>
      <c r="P42" s="13">
        <v>258.435</v>
      </c>
      <c r="Q42" s="13">
        <v>288.93400000000003</v>
      </c>
      <c r="R42" s="13">
        <v>306.834</v>
      </c>
      <c r="S42" s="13" t="s">
        <v>65</v>
      </c>
    </row>
    <row r="43" spans="1:19" x14ac:dyDescent="0.3">
      <c r="A43" s="10" t="s">
        <v>650</v>
      </c>
      <c r="B43" s="10" t="s">
        <v>651</v>
      </c>
      <c r="C43" s="13" t="s">
        <v>65</v>
      </c>
      <c r="D43" s="13" t="s">
        <v>65</v>
      </c>
      <c r="E43" s="13" t="s">
        <v>65</v>
      </c>
      <c r="F43" s="13" t="s">
        <v>65</v>
      </c>
      <c r="G43" s="13" t="s">
        <v>65</v>
      </c>
      <c r="H43" s="13" t="s">
        <v>65</v>
      </c>
      <c r="I43" s="13" t="s">
        <v>65</v>
      </c>
      <c r="J43" s="13" t="s">
        <v>65</v>
      </c>
      <c r="K43" s="13">
        <v>0.106</v>
      </c>
      <c r="L43" s="13" t="s">
        <v>65</v>
      </c>
      <c r="M43" s="13" t="s">
        <v>65</v>
      </c>
      <c r="N43" s="13" t="s">
        <v>65</v>
      </c>
      <c r="O43" s="13">
        <v>29.692</v>
      </c>
      <c r="P43" s="13">
        <v>30.475000000000001</v>
      </c>
      <c r="Q43" s="13">
        <v>8.9169999999999998</v>
      </c>
      <c r="R43" s="13">
        <v>10.945</v>
      </c>
      <c r="S43" s="13" t="s">
        <v>65</v>
      </c>
    </row>
    <row r="44" spans="1:19" x14ac:dyDescent="0.3">
      <c r="A44" s="10" t="s">
        <v>652</v>
      </c>
      <c r="B44" s="10" t="s">
        <v>653</v>
      </c>
      <c r="C44" s="13" t="s">
        <v>65</v>
      </c>
      <c r="D44" s="13" t="s">
        <v>65</v>
      </c>
      <c r="E44" s="13" t="s">
        <v>65</v>
      </c>
      <c r="F44" s="13" t="s">
        <v>65</v>
      </c>
      <c r="G44" s="13" t="s">
        <v>65</v>
      </c>
      <c r="H44" s="13" t="s">
        <v>65</v>
      </c>
      <c r="I44" s="13" t="s">
        <v>65</v>
      </c>
      <c r="J44" s="13" t="s">
        <v>65</v>
      </c>
      <c r="K44" s="13" t="s">
        <v>65</v>
      </c>
      <c r="L44" s="13" t="s">
        <v>65</v>
      </c>
      <c r="M44" s="13" t="s">
        <v>65</v>
      </c>
      <c r="N44" s="13" t="s">
        <v>65</v>
      </c>
      <c r="O44" s="13" t="s">
        <v>65</v>
      </c>
      <c r="P44" s="13" t="s">
        <v>65</v>
      </c>
      <c r="Q44" s="13">
        <v>0</v>
      </c>
      <c r="R44" s="13">
        <v>0</v>
      </c>
      <c r="S44" s="13" t="s">
        <v>65</v>
      </c>
    </row>
    <row r="45" spans="1:19" x14ac:dyDescent="0.3">
      <c r="A45" s="10" t="s">
        <v>654</v>
      </c>
      <c r="B45" s="10" t="s">
        <v>655</v>
      </c>
      <c r="C45" s="13" t="s">
        <v>65</v>
      </c>
      <c r="D45" s="13" t="s">
        <v>65</v>
      </c>
      <c r="E45" s="13" t="s">
        <v>65</v>
      </c>
      <c r="F45" s="13" t="s">
        <v>65</v>
      </c>
      <c r="G45" s="13" t="s">
        <v>65</v>
      </c>
      <c r="H45" s="13" t="s">
        <v>65</v>
      </c>
      <c r="I45" s="13">
        <v>2950.41</v>
      </c>
      <c r="J45" s="13">
        <v>3652.48</v>
      </c>
      <c r="K45" s="13">
        <v>3217.28</v>
      </c>
      <c r="L45" s="13">
        <v>3633.9</v>
      </c>
      <c r="M45" s="13">
        <v>4004.77</v>
      </c>
      <c r="N45" s="13">
        <v>2506.3000000000002</v>
      </c>
      <c r="O45" s="13">
        <v>4135.93</v>
      </c>
      <c r="P45" s="13">
        <v>6714.71</v>
      </c>
      <c r="Q45" s="13">
        <v>4739.0200000000004</v>
      </c>
      <c r="R45" s="13">
        <v>186.291</v>
      </c>
      <c r="S45" s="13" t="s">
        <v>65</v>
      </c>
    </row>
    <row r="46" spans="1:19" x14ac:dyDescent="0.3">
      <c r="A46" s="10" t="s">
        <v>656</v>
      </c>
      <c r="B46" s="10" t="s">
        <v>657</v>
      </c>
      <c r="C46" s="13" t="s">
        <v>65</v>
      </c>
      <c r="D46" s="13" t="s">
        <v>65</v>
      </c>
      <c r="E46" s="13" t="s">
        <v>65</v>
      </c>
      <c r="F46" s="13" t="s">
        <v>65</v>
      </c>
      <c r="G46" s="13" t="s">
        <v>65</v>
      </c>
      <c r="H46" s="13" t="s">
        <v>65</v>
      </c>
      <c r="I46" s="13">
        <v>0.52900000000000003</v>
      </c>
      <c r="J46" s="13">
        <v>0.22800000000000001</v>
      </c>
      <c r="K46" s="13">
        <v>0.24199999999999999</v>
      </c>
      <c r="L46" s="13">
        <v>0.191</v>
      </c>
      <c r="M46" s="13">
        <v>0.26500000000000001</v>
      </c>
      <c r="N46" s="13">
        <v>0.156</v>
      </c>
      <c r="O46" s="13">
        <v>0.28299999999999997</v>
      </c>
      <c r="P46" s="13">
        <v>0.48499999999999999</v>
      </c>
      <c r="Q46" s="13">
        <v>0.27200000000000002</v>
      </c>
      <c r="R46" s="13">
        <v>0.186</v>
      </c>
      <c r="S46" s="13" t="s">
        <v>65</v>
      </c>
    </row>
    <row r="47" spans="1:19" x14ac:dyDescent="0.3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 x14ac:dyDescent="0.3">
      <c r="A48" s="10" t="s">
        <v>658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1:19" x14ac:dyDescent="0.3">
      <c r="A49" s="10" t="s">
        <v>659</v>
      </c>
      <c r="B49" s="10" t="s">
        <v>660</v>
      </c>
      <c r="C49" s="12" t="s">
        <v>78</v>
      </c>
      <c r="D49" s="12" t="s">
        <v>79</v>
      </c>
      <c r="E49" s="12" t="s">
        <v>79</v>
      </c>
      <c r="F49" s="12" t="s">
        <v>79</v>
      </c>
      <c r="G49" s="12" t="s">
        <v>79</v>
      </c>
      <c r="H49" s="12" t="s">
        <v>79</v>
      </c>
      <c r="I49" s="12" t="s">
        <v>79</v>
      </c>
      <c r="J49" s="12" t="s">
        <v>79</v>
      </c>
      <c r="K49" s="12" t="s">
        <v>79</v>
      </c>
      <c r="L49" s="12" t="s">
        <v>79</v>
      </c>
      <c r="M49" s="12" t="s">
        <v>79</v>
      </c>
      <c r="N49" s="12" t="s">
        <v>79</v>
      </c>
      <c r="O49" s="12" t="s">
        <v>79</v>
      </c>
      <c r="P49" s="12" t="s">
        <v>79</v>
      </c>
      <c r="Q49" s="12" t="s">
        <v>79</v>
      </c>
      <c r="R49" s="12" t="s">
        <v>79</v>
      </c>
      <c r="S49" s="12" t="s">
        <v>79</v>
      </c>
    </row>
    <row r="50" spans="1:19" x14ac:dyDescent="0.3">
      <c r="A50" s="10" t="s">
        <v>661</v>
      </c>
      <c r="B50" s="10" t="s">
        <v>662</v>
      </c>
      <c r="C50" s="13" t="s">
        <v>65</v>
      </c>
      <c r="D50" s="13" t="s">
        <v>65</v>
      </c>
      <c r="E50" s="13" t="s">
        <v>65</v>
      </c>
      <c r="F50" s="13" t="s">
        <v>65</v>
      </c>
      <c r="G50" s="13" t="s">
        <v>65</v>
      </c>
      <c r="H50" s="13">
        <v>0.48399999999999999</v>
      </c>
      <c r="I50" s="13">
        <v>0.84799999999999998</v>
      </c>
      <c r="J50" s="13">
        <v>2.5070000000000001</v>
      </c>
      <c r="K50" s="13">
        <v>2.887</v>
      </c>
      <c r="L50" s="13">
        <v>2.9420000000000002</v>
      </c>
      <c r="M50" s="13">
        <v>2.9969999999999999</v>
      </c>
      <c r="N50" s="13">
        <v>2.8420000000000001</v>
      </c>
      <c r="O50" s="13">
        <v>2.3210000000000002</v>
      </c>
      <c r="P50" s="13">
        <v>2.4980000000000002</v>
      </c>
      <c r="Q50" s="13">
        <v>3.4740000000000002</v>
      </c>
      <c r="R50" s="13">
        <v>1.1890000000000001</v>
      </c>
      <c r="S50" s="13" t="s">
        <v>65</v>
      </c>
    </row>
    <row r="51" spans="1:19" x14ac:dyDescent="0.3">
      <c r="A51" s="10" t="s">
        <v>663</v>
      </c>
      <c r="B51" s="10" t="s">
        <v>664</v>
      </c>
      <c r="C51" s="13" t="s">
        <v>65</v>
      </c>
      <c r="D51" s="13" t="s">
        <v>65</v>
      </c>
      <c r="E51" s="13" t="s">
        <v>65</v>
      </c>
      <c r="F51" s="13" t="s">
        <v>65</v>
      </c>
      <c r="G51" s="13" t="s">
        <v>65</v>
      </c>
      <c r="H51" s="13">
        <v>11.814</v>
      </c>
      <c r="I51" s="13">
        <v>13.298999999999999</v>
      </c>
      <c r="J51" s="13">
        <v>15.811999999999999</v>
      </c>
      <c r="K51" s="13">
        <v>21.545000000000002</v>
      </c>
      <c r="L51" s="13">
        <v>17.593</v>
      </c>
      <c r="M51" s="13">
        <v>17.013999999999999</v>
      </c>
      <c r="N51" s="13">
        <v>19.699000000000002</v>
      </c>
      <c r="O51" s="13">
        <v>13.686</v>
      </c>
      <c r="P51" s="13">
        <v>17.256</v>
      </c>
      <c r="Q51" s="13">
        <v>21.007999999999999</v>
      </c>
      <c r="R51" s="13">
        <v>15.301</v>
      </c>
      <c r="S51" s="13" t="s">
        <v>65</v>
      </c>
    </row>
    <row r="52" spans="1:19" x14ac:dyDescent="0.3">
      <c r="A52" s="10" t="s">
        <v>665</v>
      </c>
      <c r="B52" s="10" t="s">
        <v>666</v>
      </c>
      <c r="C52" s="13" t="s">
        <v>65</v>
      </c>
      <c r="D52" s="13" t="s">
        <v>65</v>
      </c>
      <c r="E52" s="13" t="s">
        <v>65</v>
      </c>
      <c r="F52" s="13" t="s">
        <v>65</v>
      </c>
      <c r="G52" s="13" t="s">
        <v>65</v>
      </c>
      <c r="H52" s="13">
        <v>9.923</v>
      </c>
      <c r="I52" s="13">
        <v>11.553000000000001</v>
      </c>
      <c r="J52" s="13">
        <v>13.46</v>
      </c>
      <c r="K52" s="13">
        <v>18.649999999999999</v>
      </c>
      <c r="L52" s="13">
        <v>15.606</v>
      </c>
      <c r="M52" s="13">
        <v>14.868</v>
      </c>
      <c r="N52" s="13">
        <v>17.047999999999998</v>
      </c>
      <c r="O52" s="13">
        <v>11.637</v>
      </c>
      <c r="P52" s="13">
        <v>11.000999999999999</v>
      </c>
      <c r="Q52" s="13">
        <v>12.856</v>
      </c>
      <c r="R52" s="13">
        <v>10.615</v>
      </c>
      <c r="S52" s="13" t="s">
        <v>65</v>
      </c>
    </row>
    <row r="53" spans="1:19" x14ac:dyDescent="0.3">
      <c r="A53" s="10" t="s">
        <v>667</v>
      </c>
      <c r="B53" s="10" t="s">
        <v>668</v>
      </c>
      <c r="C53" s="13" t="s">
        <v>65</v>
      </c>
      <c r="D53" s="13" t="s">
        <v>65</v>
      </c>
      <c r="E53" s="13" t="s">
        <v>65</v>
      </c>
      <c r="F53" s="13" t="s">
        <v>65</v>
      </c>
      <c r="G53" s="13" t="s">
        <v>65</v>
      </c>
      <c r="H53" s="13">
        <v>1.792</v>
      </c>
      <c r="I53" s="13">
        <v>1.4910000000000001</v>
      </c>
      <c r="J53" s="13">
        <v>1.903</v>
      </c>
      <c r="K53" s="13">
        <v>1.992</v>
      </c>
      <c r="L53" s="13">
        <v>1.105</v>
      </c>
      <c r="M53" s="13">
        <v>1.3089999999999999</v>
      </c>
      <c r="N53" s="13">
        <v>1.4319999999999999</v>
      </c>
      <c r="O53" s="13">
        <v>1.0329999999999999</v>
      </c>
      <c r="P53" s="13">
        <v>2.1030000000000002</v>
      </c>
      <c r="Q53" s="13">
        <v>1.8240000000000001</v>
      </c>
      <c r="R53" s="13">
        <v>1.4379999999999999</v>
      </c>
      <c r="S53" s="13" t="s">
        <v>65</v>
      </c>
    </row>
    <row r="54" spans="1:19" x14ac:dyDescent="0.3">
      <c r="A54" s="10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</row>
    <row r="55" spans="1:19" x14ac:dyDescent="0.3">
      <c r="A55" s="10" t="s">
        <v>669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1:19" x14ac:dyDescent="0.3">
      <c r="A56" s="10" t="s">
        <v>670</v>
      </c>
      <c r="B56" s="10" t="s">
        <v>671</v>
      </c>
      <c r="C56" s="12" t="s">
        <v>78</v>
      </c>
      <c r="D56" s="12" t="s">
        <v>78</v>
      </c>
      <c r="E56" s="12" t="s">
        <v>78</v>
      </c>
      <c r="F56" s="12" t="s">
        <v>78</v>
      </c>
      <c r="G56" s="12" t="s">
        <v>78</v>
      </c>
      <c r="H56" s="12" t="s">
        <v>79</v>
      </c>
      <c r="I56" s="12" t="s">
        <v>79</v>
      </c>
      <c r="J56" s="12" t="s">
        <v>79</v>
      </c>
      <c r="K56" s="12" t="s">
        <v>79</v>
      </c>
      <c r="L56" s="12" t="s">
        <v>79</v>
      </c>
      <c r="M56" s="12" t="s">
        <v>79</v>
      </c>
      <c r="N56" s="12" t="s">
        <v>79</v>
      </c>
      <c r="O56" s="12" t="s">
        <v>79</v>
      </c>
      <c r="P56" s="12" t="s">
        <v>79</v>
      </c>
      <c r="Q56" s="12" t="s">
        <v>79</v>
      </c>
      <c r="R56" s="12" t="s">
        <v>79</v>
      </c>
      <c r="S56" s="12" t="s">
        <v>622</v>
      </c>
    </row>
    <row r="57" spans="1:19" x14ac:dyDescent="0.3">
      <c r="A57" s="10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</row>
    <row r="58" spans="1:19" x14ac:dyDescent="0.3">
      <c r="A58" s="10" t="s">
        <v>672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1:19" x14ac:dyDescent="0.3">
      <c r="A59" s="10" t="s">
        <v>673</v>
      </c>
      <c r="B59" s="10" t="s">
        <v>674</v>
      </c>
      <c r="C59" s="12" t="s">
        <v>78</v>
      </c>
      <c r="D59" s="12" t="s">
        <v>78</v>
      </c>
      <c r="E59" s="12" t="s">
        <v>78</v>
      </c>
      <c r="F59" s="12" t="s">
        <v>79</v>
      </c>
      <c r="G59" s="12" t="s">
        <v>79</v>
      </c>
      <c r="H59" s="12" t="s">
        <v>79</v>
      </c>
      <c r="I59" s="12" t="s">
        <v>79</v>
      </c>
      <c r="J59" s="12" t="s">
        <v>79</v>
      </c>
      <c r="K59" s="12" t="s">
        <v>79</v>
      </c>
      <c r="L59" s="12" t="s">
        <v>79</v>
      </c>
      <c r="M59" s="12" t="s">
        <v>79</v>
      </c>
      <c r="N59" s="12" t="s">
        <v>79</v>
      </c>
      <c r="O59" s="12" t="s">
        <v>79</v>
      </c>
      <c r="P59" s="12" t="s">
        <v>79</v>
      </c>
      <c r="Q59" s="12" t="s">
        <v>79</v>
      </c>
      <c r="R59" s="12" t="s">
        <v>79</v>
      </c>
      <c r="S59" s="12" t="s">
        <v>622</v>
      </c>
    </row>
    <row r="60" spans="1:19" x14ac:dyDescent="0.3">
      <c r="A60" s="10" t="s">
        <v>675</v>
      </c>
      <c r="B60" s="10" t="s">
        <v>676</v>
      </c>
      <c r="C60" s="13" t="s">
        <v>65</v>
      </c>
      <c r="D60" s="13" t="s">
        <v>65</v>
      </c>
      <c r="E60" s="13" t="s">
        <v>65</v>
      </c>
      <c r="F60" s="13" t="s">
        <v>65</v>
      </c>
      <c r="G60" s="13" t="s">
        <v>65</v>
      </c>
      <c r="H60" s="13">
        <v>1136.04</v>
      </c>
      <c r="I60" s="13">
        <v>1501.79</v>
      </c>
      <c r="J60" s="13">
        <v>1449.69</v>
      </c>
      <c r="K60" s="13">
        <v>1496.14</v>
      </c>
      <c r="L60" s="13">
        <v>1288.9000000000001</v>
      </c>
      <c r="M60" s="13">
        <v>1422.74</v>
      </c>
      <c r="N60" s="13">
        <v>1391</v>
      </c>
      <c r="O60" s="13">
        <v>1248</v>
      </c>
      <c r="P60" s="13">
        <v>1168</v>
      </c>
      <c r="Q60" s="13">
        <v>1158</v>
      </c>
      <c r="R60" s="13">
        <v>1172</v>
      </c>
      <c r="S60" s="13" t="s">
        <v>65</v>
      </c>
    </row>
    <row r="61" spans="1:19" x14ac:dyDescent="0.3">
      <c r="A61" s="10" t="s">
        <v>677</v>
      </c>
      <c r="B61" s="10" t="s">
        <v>678</v>
      </c>
      <c r="C61" s="13" t="s">
        <v>65</v>
      </c>
      <c r="D61" s="13" t="s">
        <v>65</v>
      </c>
      <c r="E61" s="13" t="s">
        <v>65</v>
      </c>
      <c r="F61" s="13" t="s">
        <v>65</v>
      </c>
      <c r="G61" s="13" t="s">
        <v>65</v>
      </c>
      <c r="H61" s="13" t="s">
        <v>65</v>
      </c>
      <c r="I61" s="13" t="s">
        <v>65</v>
      </c>
      <c r="J61" s="13" t="s">
        <v>65</v>
      </c>
      <c r="K61" s="13" t="s">
        <v>65</v>
      </c>
      <c r="L61" s="13" t="s">
        <v>65</v>
      </c>
      <c r="M61" s="13" t="s">
        <v>65</v>
      </c>
      <c r="N61" s="13" t="s">
        <v>65</v>
      </c>
      <c r="O61" s="13">
        <v>0</v>
      </c>
      <c r="P61" s="13">
        <v>527</v>
      </c>
      <c r="Q61" s="13" t="s">
        <v>65</v>
      </c>
      <c r="R61" s="13" t="s">
        <v>65</v>
      </c>
      <c r="S61" s="13" t="s">
        <v>65</v>
      </c>
    </row>
    <row r="62" spans="1:19" x14ac:dyDescent="0.3">
      <c r="A62" s="10" t="s">
        <v>679</v>
      </c>
      <c r="B62" s="10" t="s">
        <v>680</v>
      </c>
      <c r="C62" s="13" t="s">
        <v>65</v>
      </c>
      <c r="D62" s="13" t="s">
        <v>65</v>
      </c>
      <c r="E62" s="13" t="s">
        <v>65</v>
      </c>
      <c r="F62" s="13" t="s">
        <v>65</v>
      </c>
      <c r="G62" s="13" t="s">
        <v>65</v>
      </c>
      <c r="H62" s="13" t="s">
        <v>65</v>
      </c>
      <c r="I62" s="13" t="s">
        <v>65</v>
      </c>
      <c r="J62" s="13" t="s">
        <v>65</v>
      </c>
      <c r="K62" s="13" t="s">
        <v>65</v>
      </c>
      <c r="L62" s="13" t="s">
        <v>65</v>
      </c>
      <c r="M62" s="13" t="s">
        <v>65</v>
      </c>
      <c r="N62" s="13" t="s">
        <v>65</v>
      </c>
      <c r="O62" s="13">
        <v>0</v>
      </c>
      <c r="P62" s="13">
        <v>390</v>
      </c>
      <c r="Q62" s="13">
        <v>449</v>
      </c>
      <c r="R62" s="13">
        <v>657</v>
      </c>
      <c r="S62" s="13" t="s">
        <v>65</v>
      </c>
    </row>
    <row r="63" spans="1:19" x14ac:dyDescent="0.3">
      <c r="A63" s="10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1:19" x14ac:dyDescent="0.3">
      <c r="A64" s="10" t="s">
        <v>681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spans="1:19" x14ac:dyDescent="0.3">
      <c r="A65" s="10" t="s">
        <v>682</v>
      </c>
      <c r="B65" s="10" t="s">
        <v>683</v>
      </c>
      <c r="C65" s="12" t="s">
        <v>78</v>
      </c>
      <c r="D65" s="12" t="s">
        <v>78</v>
      </c>
      <c r="E65" s="12" t="s">
        <v>78</v>
      </c>
      <c r="F65" s="12" t="s">
        <v>78</v>
      </c>
      <c r="G65" s="12" t="s">
        <v>78</v>
      </c>
      <c r="H65" s="12" t="s">
        <v>78</v>
      </c>
      <c r="I65" s="12" t="s">
        <v>78</v>
      </c>
      <c r="J65" s="12" t="s">
        <v>78</v>
      </c>
      <c r="K65" s="12" t="s">
        <v>78</v>
      </c>
      <c r="L65" s="12" t="s">
        <v>78</v>
      </c>
      <c r="M65" s="12" t="s">
        <v>78</v>
      </c>
      <c r="N65" s="12" t="s">
        <v>78</v>
      </c>
      <c r="O65" s="12" t="s">
        <v>78</v>
      </c>
      <c r="P65" s="12" t="s">
        <v>78</v>
      </c>
      <c r="Q65" s="12" t="s">
        <v>78</v>
      </c>
      <c r="R65" s="12" t="s">
        <v>78</v>
      </c>
      <c r="S65" s="12" t="s">
        <v>622</v>
      </c>
    </row>
    <row r="66" spans="1:19" x14ac:dyDescent="0.3">
      <c r="A66" s="10" t="s">
        <v>684</v>
      </c>
      <c r="B66" s="10" t="s">
        <v>685</v>
      </c>
      <c r="C66" s="12" t="s">
        <v>622</v>
      </c>
      <c r="D66" s="12" t="s">
        <v>622</v>
      </c>
      <c r="E66" s="12" t="s">
        <v>622</v>
      </c>
      <c r="F66" s="12" t="s">
        <v>622</v>
      </c>
      <c r="G66" s="12" t="s">
        <v>622</v>
      </c>
      <c r="H66" s="12" t="s">
        <v>622</v>
      </c>
      <c r="I66" s="12" t="s">
        <v>622</v>
      </c>
      <c r="J66" s="12" t="s">
        <v>622</v>
      </c>
      <c r="K66" s="12" t="s">
        <v>622</v>
      </c>
      <c r="L66" s="12" t="s">
        <v>622</v>
      </c>
      <c r="M66" s="12" t="s">
        <v>622</v>
      </c>
      <c r="N66" s="12" t="s">
        <v>622</v>
      </c>
      <c r="O66" s="12" t="s">
        <v>622</v>
      </c>
      <c r="P66" s="12" t="s">
        <v>78</v>
      </c>
      <c r="Q66" s="12" t="s">
        <v>78</v>
      </c>
      <c r="R66" s="12" t="s">
        <v>78</v>
      </c>
      <c r="S66" s="12" t="s">
        <v>622</v>
      </c>
    </row>
    <row r="67" spans="1:19" x14ac:dyDescent="0.3">
      <c r="A67" s="10" t="s">
        <v>686</v>
      </c>
      <c r="B67" s="10" t="s">
        <v>687</v>
      </c>
      <c r="C67" s="12" t="s">
        <v>622</v>
      </c>
      <c r="D67" s="12" t="s">
        <v>622</v>
      </c>
      <c r="E67" s="12" t="s">
        <v>622</v>
      </c>
      <c r="F67" s="12" t="s">
        <v>622</v>
      </c>
      <c r="G67" s="12" t="s">
        <v>622</v>
      </c>
      <c r="H67" s="12" t="s">
        <v>622</v>
      </c>
      <c r="I67" s="12" t="s">
        <v>622</v>
      </c>
      <c r="J67" s="12" t="s">
        <v>622</v>
      </c>
      <c r="K67" s="12" t="s">
        <v>622</v>
      </c>
      <c r="L67" s="12" t="s">
        <v>622</v>
      </c>
      <c r="M67" s="12" t="s">
        <v>622</v>
      </c>
      <c r="N67" s="12" t="s">
        <v>622</v>
      </c>
      <c r="O67" s="12" t="s">
        <v>622</v>
      </c>
      <c r="P67" s="12" t="s">
        <v>78</v>
      </c>
      <c r="Q67" s="12" t="s">
        <v>78</v>
      </c>
      <c r="R67" s="12" t="s">
        <v>78</v>
      </c>
      <c r="S67" s="12" t="s">
        <v>622</v>
      </c>
    </row>
    <row r="68" spans="1:19" x14ac:dyDescent="0.3">
      <c r="A68" s="10" t="s">
        <v>688</v>
      </c>
      <c r="B68" s="10" t="s">
        <v>689</v>
      </c>
      <c r="C68" s="12" t="s">
        <v>622</v>
      </c>
      <c r="D68" s="12" t="s">
        <v>622</v>
      </c>
      <c r="E68" s="12" t="s">
        <v>622</v>
      </c>
      <c r="F68" s="12" t="s">
        <v>622</v>
      </c>
      <c r="G68" s="12" t="s">
        <v>622</v>
      </c>
      <c r="H68" s="12" t="s">
        <v>622</v>
      </c>
      <c r="I68" s="12" t="s">
        <v>622</v>
      </c>
      <c r="J68" s="12" t="s">
        <v>622</v>
      </c>
      <c r="K68" s="12" t="s">
        <v>622</v>
      </c>
      <c r="L68" s="12" t="s">
        <v>622</v>
      </c>
      <c r="M68" s="12" t="s">
        <v>622</v>
      </c>
      <c r="N68" s="12" t="s">
        <v>622</v>
      </c>
      <c r="O68" s="12" t="s">
        <v>622</v>
      </c>
      <c r="P68" s="12" t="s">
        <v>79</v>
      </c>
      <c r="Q68" s="12" t="s">
        <v>79</v>
      </c>
      <c r="R68" s="12" t="s">
        <v>79</v>
      </c>
      <c r="S68" s="12" t="s">
        <v>622</v>
      </c>
    </row>
    <row r="69" spans="1:19" x14ac:dyDescent="0.3">
      <c r="A69" s="10" t="s">
        <v>690</v>
      </c>
      <c r="B69" s="10" t="s">
        <v>691</v>
      </c>
      <c r="C69" s="12" t="s">
        <v>622</v>
      </c>
      <c r="D69" s="12" t="s">
        <v>622</v>
      </c>
      <c r="E69" s="12" t="s">
        <v>622</v>
      </c>
      <c r="F69" s="12" t="s">
        <v>622</v>
      </c>
      <c r="G69" s="12" t="s">
        <v>622</v>
      </c>
      <c r="H69" s="12" t="s">
        <v>622</v>
      </c>
      <c r="I69" s="12" t="s">
        <v>622</v>
      </c>
      <c r="J69" s="12" t="s">
        <v>622</v>
      </c>
      <c r="K69" s="12" t="s">
        <v>622</v>
      </c>
      <c r="L69" s="12" t="s">
        <v>622</v>
      </c>
      <c r="M69" s="12" t="s">
        <v>622</v>
      </c>
      <c r="N69" s="12" t="s">
        <v>622</v>
      </c>
      <c r="O69" s="12" t="s">
        <v>622</v>
      </c>
      <c r="P69" s="12" t="s">
        <v>79</v>
      </c>
      <c r="Q69" s="12" t="s">
        <v>79</v>
      </c>
      <c r="R69" s="12" t="s">
        <v>79</v>
      </c>
      <c r="S69" s="12" t="s">
        <v>622</v>
      </c>
    </row>
    <row r="70" spans="1:19" x14ac:dyDescent="0.3">
      <c r="A70" s="10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</row>
    <row r="71" spans="1:19" x14ac:dyDescent="0.3">
      <c r="A71" s="10" t="s">
        <v>692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spans="1:19" x14ac:dyDescent="0.3">
      <c r="A72" s="10" t="s">
        <v>693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</row>
    <row r="73" spans="1:19" x14ac:dyDescent="0.3">
      <c r="A73" s="10" t="s">
        <v>694</v>
      </c>
      <c r="B73" s="10" t="s">
        <v>695</v>
      </c>
      <c r="C73" s="12" t="s">
        <v>78</v>
      </c>
      <c r="D73" s="12" t="s">
        <v>78</v>
      </c>
      <c r="E73" s="12" t="s">
        <v>78</v>
      </c>
      <c r="F73" s="12" t="s">
        <v>78</v>
      </c>
      <c r="G73" s="12" t="s">
        <v>78</v>
      </c>
      <c r="H73" s="12" t="s">
        <v>79</v>
      </c>
      <c r="I73" s="12" t="s">
        <v>79</v>
      </c>
      <c r="J73" s="12" t="s">
        <v>79</v>
      </c>
      <c r="K73" s="12" t="s">
        <v>79</v>
      </c>
      <c r="L73" s="12" t="s">
        <v>79</v>
      </c>
      <c r="M73" s="12" t="s">
        <v>79</v>
      </c>
      <c r="N73" s="12" t="s">
        <v>79</v>
      </c>
      <c r="O73" s="12" t="s">
        <v>79</v>
      </c>
      <c r="P73" s="12" t="s">
        <v>79</v>
      </c>
      <c r="Q73" s="12" t="s">
        <v>79</v>
      </c>
      <c r="R73" s="12" t="s">
        <v>79</v>
      </c>
      <c r="S73" s="12" t="s">
        <v>622</v>
      </c>
    </row>
    <row r="74" spans="1:19" x14ac:dyDescent="0.3">
      <c r="A74" s="10" t="s">
        <v>696</v>
      </c>
      <c r="B74" s="10" t="s">
        <v>697</v>
      </c>
      <c r="C74" s="12" t="s">
        <v>78</v>
      </c>
      <c r="D74" s="12" t="s">
        <v>78</v>
      </c>
      <c r="E74" s="12" t="s">
        <v>78</v>
      </c>
      <c r="F74" s="12" t="s">
        <v>78</v>
      </c>
      <c r="G74" s="12" t="s">
        <v>78</v>
      </c>
      <c r="H74" s="12" t="s">
        <v>78</v>
      </c>
      <c r="I74" s="12" t="s">
        <v>78</v>
      </c>
      <c r="J74" s="12" t="s">
        <v>78</v>
      </c>
      <c r="K74" s="12" t="s">
        <v>79</v>
      </c>
      <c r="L74" s="12" t="s">
        <v>79</v>
      </c>
      <c r="M74" s="12" t="s">
        <v>79</v>
      </c>
      <c r="N74" s="12" t="s">
        <v>79</v>
      </c>
      <c r="O74" s="12" t="s">
        <v>79</v>
      </c>
      <c r="P74" s="12" t="s">
        <v>79</v>
      </c>
      <c r="Q74" s="12" t="s">
        <v>79</v>
      </c>
      <c r="R74" s="12" t="s">
        <v>79</v>
      </c>
      <c r="S74" s="12" t="s">
        <v>622</v>
      </c>
    </row>
    <row r="75" spans="1:19" x14ac:dyDescent="0.3">
      <c r="A75" s="10" t="s">
        <v>698</v>
      </c>
      <c r="B75" s="10" t="s">
        <v>699</v>
      </c>
      <c r="C75" s="12" t="s">
        <v>622</v>
      </c>
      <c r="D75" s="12" t="s">
        <v>622</v>
      </c>
      <c r="E75" s="12" t="s">
        <v>622</v>
      </c>
      <c r="F75" s="12" t="s">
        <v>622</v>
      </c>
      <c r="G75" s="12" t="s">
        <v>622</v>
      </c>
      <c r="H75" s="12" t="s">
        <v>622</v>
      </c>
      <c r="I75" s="12" t="s">
        <v>622</v>
      </c>
      <c r="J75" s="12" t="s">
        <v>78</v>
      </c>
      <c r="K75" s="12" t="s">
        <v>78</v>
      </c>
      <c r="L75" s="12" t="s">
        <v>78</v>
      </c>
      <c r="M75" s="12" t="s">
        <v>78</v>
      </c>
      <c r="N75" s="12" t="s">
        <v>78</v>
      </c>
      <c r="O75" s="12" t="s">
        <v>78</v>
      </c>
      <c r="P75" s="12" t="s">
        <v>79</v>
      </c>
      <c r="Q75" s="12" t="s">
        <v>79</v>
      </c>
      <c r="R75" s="12" t="s">
        <v>79</v>
      </c>
      <c r="S75" s="12" t="s">
        <v>622</v>
      </c>
    </row>
    <row r="76" spans="1:19" x14ac:dyDescent="0.3">
      <c r="A76" s="10" t="s">
        <v>700</v>
      </c>
      <c r="B76" s="10" t="s">
        <v>701</v>
      </c>
      <c r="C76" s="12" t="s">
        <v>622</v>
      </c>
      <c r="D76" s="12" t="s">
        <v>622</v>
      </c>
      <c r="E76" s="12" t="s">
        <v>622</v>
      </c>
      <c r="F76" s="12" t="s">
        <v>622</v>
      </c>
      <c r="G76" s="12" t="s">
        <v>622</v>
      </c>
      <c r="H76" s="12" t="s">
        <v>622</v>
      </c>
      <c r="I76" s="12" t="s">
        <v>622</v>
      </c>
      <c r="J76" s="12" t="s">
        <v>78</v>
      </c>
      <c r="K76" s="12" t="s">
        <v>78</v>
      </c>
      <c r="L76" s="12" t="s">
        <v>79</v>
      </c>
      <c r="M76" s="12" t="s">
        <v>79</v>
      </c>
      <c r="N76" s="12" t="s">
        <v>79</v>
      </c>
      <c r="O76" s="12" t="s">
        <v>79</v>
      </c>
      <c r="P76" s="12" t="s">
        <v>79</v>
      </c>
      <c r="Q76" s="12" t="s">
        <v>79</v>
      </c>
      <c r="R76" s="12" t="s">
        <v>79</v>
      </c>
      <c r="S76" s="12" t="s">
        <v>622</v>
      </c>
    </row>
    <row r="77" spans="1:19" x14ac:dyDescent="0.3">
      <c r="A77" s="10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1:19" x14ac:dyDescent="0.3">
      <c r="A78" s="10" t="s">
        <v>702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1:19" x14ac:dyDescent="0.3">
      <c r="A79" s="10" t="s">
        <v>703</v>
      </c>
      <c r="B79" s="10" t="s">
        <v>704</v>
      </c>
      <c r="C79" s="12" t="s">
        <v>78</v>
      </c>
      <c r="D79" s="12" t="s">
        <v>78</v>
      </c>
      <c r="E79" s="12" t="s">
        <v>78</v>
      </c>
      <c r="F79" s="12" t="s">
        <v>78</v>
      </c>
      <c r="G79" s="12" t="s">
        <v>78</v>
      </c>
      <c r="H79" s="12" t="s">
        <v>79</v>
      </c>
      <c r="I79" s="12" t="s">
        <v>79</v>
      </c>
      <c r="J79" s="12" t="s">
        <v>79</v>
      </c>
      <c r="K79" s="12" t="s">
        <v>79</v>
      </c>
      <c r="L79" s="12" t="s">
        <v>79</v>
      </c>
      <c r="M79" s="12" t="s">
        <v>79</v>
      </c>
      <c r="N79" s="12" t="s">
        <v>79</v>
      </c>
      <c r="O79" s="12" t="s">
        <v>79</v>
      </c>
      <c r="P79" s="12" t="s">
        <v>79</v>
      </c>
      <c r="Q79" s="12" t="s">
        <v>79</v>
      </c>
      <c r="R79" s="12" t="s">
        <v>79</v>
      </c>
      <c r="S79" s="12" t="s">
        <v>79</v>
      </c>
    </row>
    <row r="80" spans="1:19" x14ac:dyDescent="0.3">
      <c r="A80" s="10" t="s">
        <v>705</v>
      </c>
      <c r="B80" s="10" t="s">
        <v>706</v>
      </c>
      <c r="C80" s="12" t="s">
        <v>622</v>
      </c>
      <c r="D80" s="12" t="s">
        <v>622</v>
      </c>
      <c r="E80" s="12" t="s">
        <v>622</v>
      </c>
      <c r="F80" s="12" t="s">
        <v>622</v>
      </c>
      <c r="G80" s="12" t="s">
        <v>622</v>
      </c>
      <c r="H80" s="12" t="s">
        <v>622</v>
      </c>
      <c r="I80" s="12" t="s">
        <v>78</v>
      </c>
      <c r="J80" s="12" t="s">
        <v>78</v>
      </c>
      <c r="K80" s="12" t="s">
        <v>78</v>
      </c>
      <c r="L80" s="12" t="s">
        <v>78</v>
      </c>
      <c r="M80" s="12" t="s">
        <v>78</v>
      </c>
      <c r="N80" s="12" t="s">
        <v>78</v>
      </c>
      <c r="O80" s="12" t="s">
        <v>78</v>
      </c>
      <c r="P80" s="12" t="s">
        <v>78</v>
      </c>
      <c r="Q80" s="12" t="s">
        <v>78</v>
      </c>
      <c r="R80" s="12" t="s">
        <v>78</v>
      </c>
      <c r="S80" s="12" t="s">
        <v>622</v>
      </c>
    </row>
    <row r="81" spans="1:19" x14ac:dyDescent="0.3">
      <c r="A81" s="10" t="s">
        <v>707</v>
      </c>
      <c r="B81" s="10" t="s">
        <v>708</v>
      </c>
      <c r="C81" s="14" t="s">
        <v>65</v>
      </c>
      <c r="D81" s="14" t="s">
        <v>65</v>
      </c>
      <c r="E81" s="14" t="s">
        <v>65</v>
      </c>
      <c r="F81" s="14" t="s">
        <v>65</v>
      </c>
      <c r="G81" s="14" t="s">
        <v>65</v>
      </c>
      <c r="H81" s="14">
        <v>19</v>
      </c>
      <c r="I81" s="14">
        <v>19</v>
      </c>
      <c r="J81" s="14">
        <v>21</v>
      </c>
      <c r="K81" s="14" t="s">
        <v>65</v>
      </c>
      <c r="L81" s="14" t="s">
        <v>65</v>
      </c>
      <c r="M81" s="14" t="s">
        <v>65</v>
      </c>
      <c r="N81" s="14" t="s">
        <v>65</v>
      </c>
      <c r="O81" s="14" t="s">
        <v>65</v>
      </c>
      <c r="P81" s="14" t="s">
        <v>65</v>
      </c>
      <c r="Q81" s="14" t="s">
        <v>65</v>
      </c>
      <c r="R81" s="14" t="s">
        <v>65</v>
      </c>
      <c r="S81" s="14" t="s">
        <v>65</v>
      </c>
    </row>
    <row r="82" spans="1:19" x14ac:dyDescent="0.3">
      <c r="A82" s="10" t="s">
        <v>709</v>
      </c>
      <c r="B82" s="10" t="s">
        <v>710</v>
      </c>
      <c r="C82" s="14" t="s">
        <v>65</v>
      </c>
      <c r="D82" s="14" t="s">
        <v>65</v>
      </c>
      <c r="E82" s="14" t="s">
        <v>65</v>
      </c>
      <c r="F82" s="14" t="s">
        <v>65</v>
      </c>
      <c r="G82" s="14" t="s">
        <v>65</v>
      </c>
      <c r="H82" s="14">
        <v>41</v>
      </c>
      <c r="I82" s="14">
        <v>53</v>
      </c>
      <c r="J82" s="14">
        <v>54</v>
      </c>
      <c r="K82" s="14">
        <v>54</v>
      </c>
      <c r="L82" s="14">
        <v>53</v>
      </c>
      <c r="M82" s="14">
        <v>53</v>
      </c>
      <c r="N82" s="14">
        <v>53</v>
      </c>
      <c r="O82" s="14">
        <v>51</v>
      </c>
      <c r="P82" s="14">
        <v>51</v>
      </c>
      <c r="Q82" s="14">
        <v>54</v>
      </c>
      <c r="R82" s="14">
        <v>54</v>
      </c>
      <c r="S82" s="14" t="s">
        <v>65</v>
      </c>
    </row>
    <row r="83" spans="1:19" x14ac:dyDescent="0.3">
      <c r="A83" s="10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 spans="1:19" x14ac:dyDescent="0.3">
      <c r="A84" s="10" t="s">
        <v>711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spans="1:19" x14ac:dyDescent="0.3">
      <c r="A85" s="10" t="s">
        <v>712</v>
      </c>
      <c r="B85" s="10" t="s">
        <v>713</v>
      </c>
      <c r="C85" s="12" t="s">
        <v>79</v>
      </c>
      <c r="D85" s="12" t="s">
        <v>79</v>
      </c>
      <c r="E85" s="12" t="s">
        <v>79</v>
      </c>
      <c r="F85" s="12" t="s">
        <v>79</v>
      </c>
      <c r="G85" s="12" t="s">
        <v>79</v>
      </c>
      <c r="H85" s="12" t="s">
        <v>79</v>
      </c>
      <c r="I85" s="12" t="s">
        <v>79</v>
      </c>
      <c r="J85" s="12" t="s">
        <v>79</v>
      </c>
      <c r="K85" s="12" t="s">
        <v>79</v>
      </c>
      <c r="L85" s="12" t="s">
        <v>79</v>
      </c>
      <c r="M85" s="12" t="s">
        <v>79</v>
      </c>
      <c r="N85" s="12" t="s">
        <v>79</v>
      </c>
      <c r="O85" s="12" t="s">
        <v>79</v>
      </c>
      <c r="P85" s="12" t="s">
        <v>79</v>
      </c>
      <c r="Q85" s="12" t="s">
        <v>79</v>
      </c>
      <c r="R85" s="12" t="s">
        <v>79</v>
      </c>
      <c r="S85" s="12" t="s">
        <v>622</v>
      </c>
    </row>
    <row r="86" spans="1:19" x14ac:dyDescent="0.3">
      <c r="A86" s="10" t="s">
        <v>714</v>
      </c>
      <c r="B86" s="10" t="s">
        <v>715</v>
      </c>
      <c r="C86" s="12" t="s">
        <v>78</v>
      </c>
      <c r="D86" s="12" t="s">
        <v>78</v>
      </c>
      <c r="E86" s="12" t="s">
        <v>78</v>
      </c>
      <c r="F86" s="12" t="s">
        <v>78</v>
      </c>
      <c r="G86" s="12" t="s">
        <v>79</v>
      </c>
      <c r="H86" s="12" t="s">
        <v>79</v>
      </c>
      <c r="I86" s="12" t="s">
        <v>79</v>
      </c>
      <c r="J86" s="12" t="s">
        <v>79</v>
      </c>
      <c r="K86" s="12" t="s">
        <v>79</v>
      </c>
      <c r="L86" s="12" t="s">
        <v>79</v>
      </c>
      <c r="M86" s="12" t="s">
        <v>79</v>
      </c>
      <c r="N86" s="12" t="s">
        <v>79</v>
      </c>
      <c r="O86" s="12" t="s">
        <v>79</v>
      </c>
      <c r="P86" s="12" t="s">
        <v>79</v>
      </c>
      <c r="Q86" s="12" t="s">
        <v>79</v>
      </c>
      <c r="R86" s="12" t="s">
        <v>79</v>
      </c>
      <c r="S86" s="12" t="s">
        <v>79</v>
      </c>
    </row>
    <row r="87" spans="1:19" x14ac:dyDescent="0.3">
      <c r="A87" s="10" t="s">
        <v>716</v>
      </c>
      <c r="B87" s="10" t="s">
        <v>717</v>
      </c>
      <c r="C87" s="13" t="s">
        <v>65</v>
      </c>
      <c r="D87" s="13" t="s">
        <v>65</v>
      </c>
      <c r="E87" s="13" t="s">
        <v>65</v>
      </c>
      <c r="F87" s="13" t="s">
        <v>65</v>
      </c>
      <c r="G87" s="13" t="s">
        <v>65</v>
      </c>
      <c r="H87" s="13" t="s">
        <v>65</v>
      </c>
      <c r="I87" s="13" t="s">
        <v>65</v>
      </c>
      <c r="J87" s="13" t="s">
        <v>65</v>
      </c>
      <c r="K87" s="13" t="s">
        <v>65</v>
      </c>
      <c r="L87" s="13" t="s">
        <v>65</v>
      </c>
      <c r="M87" s="13" t="s">
        <v>65</v>
      </c>
      <c r="N87" s="13" t="s">
        <v>65</v>
      </c>
      <c r="O87" s="13" t="s">
        <v>65</v>
      </c>
      <c r="P87" s="13" t="s">
        <v>65</v>
      </c>
      <c r="Q87" s="13" t="s">
        <v>65</v>
      </c>
      <c r="R87" s="13">
        <v>0</v>
      </c>
      <c r="S87" s="13" t="s">
        <v>65</v>
      </c>
    </row>
    <row r="88" spans="1:19" x14ac:dyDescent="0.3">
      <c r="A88" s="10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  <row r="89" spans="1:19" x14ac:dyDescent="0.3">
      <c r="A89" s="10" t="s">
        <v>718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</row>
    <row r="90" spans="1:19" x14ac:dyDescent="0.3">
      <c r="A90" s="10" t="s">
        <v>719</v>
      </c>
      <c r="B90" s="10" t="s">
        <v>720</v>
      </c>
      <c r="C90" s="12" t="s">
        <v>78</v>
      </c>
      <c r="D90" s="12" t="s">
        <v>79</v>
      </c>
      <c r="E90" s="12" t="s">
        <v>79</v>
      </c>
      <c r="F90" s="12" t="s">
        <v>79</v>
      </c>
      <c r="G90" s="12" t="s">
        <v>79</v>
      </c>
      <c r="H90" s="12" t="s">
        <v>79</v>
      </c>
      <c r="I90" s="12" t="s">
        <v>79</v>
      </c>
      <c r="J90" s="12" t="s">
        <v>79</v>
      </c>
      <c r="K90" s="12" t="s">
        <v>79</v>
      </c>
      <c r="L90" s="12" t="s">
        <v>79</v>
      </c>
      <c r="M90" s="12" t="s">
        <v>79</v>
      </c>
      <c r="N90" s="12" t="s">
        <v>79</v>
      </c>
      <c r="O90" s="12" t="s">
        <v>79</v>
      </c>
      <c r="P90" s="12" t="s">
        <v>79</v>
      </c>
      <c r="Q90" s="12" t="s">
        <v>79</v>
      </c>
      <c r="R90" s="12" t="s">
        <v>79</v>
      </c>
      <c r="S90" s="12" t="s">
        <v>79</v>
      </c>
    </row>
    <row r="91" spans="1:19" x14ac:dyDescent="0.3">
      <c r="A91" s="10" t="s">
        <v>721</v>
      </c>
      <c r="B91" s="10" t="s">
        <v>722</v>
      </c>
      <c r="C91" s="14" t="s">
        <v>65</v>
      </c>
      <c r="D91" s="14" t="s">
        <v>65</v>
      </c>
      <c r="E91" s="14" t="s">
        <v>65</v>
      </c>
      <c r="F91" s="14" t="s">
        <v>65</v>
      </c>
      <c r="G91" s="14" t="s">
        <v>65</v>
      </c>
      <c r="H91" s="14" t="s">
        <v>65</v>
      </c>
      <c r="I91" s="14" t="s">
        <v>65</v>
      </c>
      <c r="J91" s="14" t="s">
        <v>65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 t="s">
        <v>65</v>
      </c>
    </row>
    <row r="92" spans="1:19" x14ac:dyDescent="0.3">
      <c r="A92" s="10" t="s">
        <v>723</v>
      </c>
      <c r="B92" s="10" t="s">
        <v>724</v>
      </c>
      <c r="C92" s="14" t="s">
        <v>65</v>
      </c>
      <c r="D92" s="14" t="s">
        <v>65</v>
      </c>
      <c r="E92" s="14" t="s">
        <v>65</v>
      </c>
      <c r="F92" s="14" t="s">
        <v>65</v>
      </c>
      <c r="G92" s="14" t="s">
        <v>65</v>
      </c>
      <c r="H92" s="14" t="s">
        <v>65</v>
      </c>
      <c r="I92" s="14" t="s">
        <v>65</v>
      </c>
      <c r="J92" s="14" t="s">
        <v>65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 t="s">
        <v>65</v>
      </c>
    </row>
    <row r="93" spans="1:19" x14ac:dyDescent="0.3">
      <c r="A93" s="10" t="s">
        <v>725</v>
      </c>
      <c r="B93" s="10" t="s">
        <v>726</v>
      </c>
      <c r="C93" s="14" t="s">
        <v>65</v>
      </c>
      <c r="D93" s="14" t="s">
        <v>65</v>
      </c>
      <c r="E93" s="14" t="s">
        <v>65</v>
      </c>
      <c r="F93" s="14" t="s">
        <v>65</v>
      </c>
      <c r="G93" s="14" t="s">
        <v>65</v>
      </c>
      <c r="H93" s="14" t="s">
        <v>65</v>
      </c>
      <c r="I93" s="14" t="s">
        <v>65</v>
      </c>
      <c r="J93" s="14" t="s">
        <v>65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 t="s">
        <v>65</v>
      </c>
    </row>
    <row r="94" spans="1:19" x14ac:dyDescent="0.3">
      <c r="A94" s="10" t="s">
        <v>727</v>
      </c>
      <c r="B94" s="10" t="s">
        <v>728</v>
      </c>
      <c r="C94" s="14" t="s">
        <v>65</v>
      </c>
      <c r="D94" s="14" t="s">
        <v>65</v>
      </c>
      <c r="E94" s="14" t="s">
        <v>65</v>
      </c>
      <c r="F94" s="14" t="s">
        <v>65</v>
      </c>
      <c r="G94" s="14" t="s">
        <v>65</v>
      </c>
      <c r="H94" s="14" t="s">
        <v>65</v>
      </c>
      <c r="I94" s="14" t="s">
        <v>65</v>
      </c>
      <c r="J94" s="14" t="s">
        <v>65</v>
      </c>
      <c r="K94" s="14" t="s">
        <v>65</v>
      </c>
      <c r="L94" s="14" t="s">
        <v>65</v>
      </c>
      <c r="M94" s="14">
        <v>0.05</v>
      </c>
      <c r="N94" s="14">
        <v>0.05</v>
      </c>
      <c r="O94" s="14">
        <v>0.05</v>
      </c>
      <c r="P94" s="14">
        <v>9.7000000000000003E-2</v>
      </c>
      <c r="Q94" s="14">
        <v>0.04</v>
      </c>
      <c r="R94" s="14">
        <v>0.04</v>
      </c>
      <c r="S94" s="14" t="s">
        <v>65</v>
      </c>
    </row>
    <row r="95" spans="1:19" x14ac:dyDescent="0.3">
      <c r="A95" s="10" t="s">
        <v>729</v>
      </c>
      <c r="B95" s="10" t="s">
        <v>730</v>
      </c>
      <c r="C95" s="14" t="s">
        <v>65</v>
      </c>
      <c r="D95" s="14" t="s">
        <v>65</v>
      </c>
      <c r="E95" s="14" t="s">
        <v>65</v>
      </c>
      <c r="F95" s="14" t="s">
        <v>65</v>
      </c>
      <c r="G95" s="14" t="s">
        <v>65</v>
      </c>
      <c r="H95" s="14">
        <v>0.11</v>
      </c>
      <c r="I95" s="14">
        <v>0.13</v>
      </c>
      <c r="J95" s="14">
        <v>0.06</v>
      </c>
      <c r="K95" s="14">
        <v>0.06</v>
      </c>
      <c r="L95" s="14">
        <v>0.08</v>
      </c>
      <c r="M95" s="14">
        <v>0.05</v>
      </c>
      <c r="N95" s="14">
        <v>0.05</v>
      </c>
      <c r="O95" s="14">
        <v>0.05</v>
      </c>
      <c r="P95" s="14">
        <v>9.7000000000000003E-2</v>
      </c>
      <c r="Q95" s="14">
        <v>0.04</v>
      </c>
      <c r="R95" s="14">
        <v>0.04</v>
      </c>
      <c r="S95" s="14" t="s">
        <v>65</v>
      </c>
    </row>
    <row r="96" spans="1:19" x14ac:dyDescent="0.3">
      <c r="A96" s="10" t="s">
        <v>731</v>
      </c>
      <c r="B96" s="10" t="s">
        <v>732</v>
      </c>
      <c r="C96" s="14" t="s">
        <v>65</v>
      </c>
      <c r="D96" s="14" t="s">
        <v>65</v>
      </c>
      <c r="E96" s="14" t="s">
        <v>65</v>
      </c>
      <c r="F96" s="14" t="s">
        <v>65</v>
      </c>
      <c r="G96" s="14" t="s">
        <v>65</v>
      </c>
      <c r="H96" s="14" t="s">
        <v>65</v>
      </c>
      <c r="I96" s="14" t="s">
        <v>65</v>
      </c>
      <c r="J96" s="14" t="s">
        <v>65</v>
      </c>
      <c r="K96" s="14" t="s">
        <v>65</v>
      </c>
      <c r="L96" s="14" t="s">
        <v>65</v>
      </c>
      <c r="M96" s="14">
        <v>0.32</v>
      </c>
      <c r="N96" s="14">
        <v>0.26</v>
      </c>
      <c r="O96" s="14">
        <v>0.3</v>
      </c>
      <c r="P96" s="14">
        <v>0.3</v>
      </c>
      <c r="Q96" s="14">
        <v>0.2</v>
      </c>
      <c r="R96" s="14">
        <v>0.2</v>
      </c>
      <c r="S96" s="14" t="s">
        <v>65</v>
      </c>
    </row>
    <row r="97" spans="1:19" x14ac:dyDescent="0.3">
      <c r="A97" s="10" t="s">
        <v>733</v>
      </c>
      <c r="B97" s="10" t="s">
        <v>734</v>
      </c>
      <c r="C97" s="14" t="s">
        <v>65</v>
      </c>
      <c r="D97" s="14" t="s">
        <v>65</v>
      </c>
      <c r="E97" s="14" t="s">
        <v>65</v>
      </c>
      <c r="F97" s="14" t="s">
        <v>65</v>
      </c>
      <c r="G97" s="14" t="s">
        <v>65</v>
      </c>
      <c r="H97" s="14" t="s">
        <v>65</v>
      </c>
      <c r="I97" s="14" t="s">
        <v>65</v>
      </c>
      <c r="J97" s="14" t="s">
        <v>65</v>
      </c>
      <c r="K97" s="14" t="s">
        <v>65</v>
      </c>
      <c r="L97" s="14" t="s">
        <v>65</v>
      </c>
      <c r="M97" s="14">
        <v>0.32</v>
      </c>
      <c r="N97" s="14">
        <v>0.26</v>
      </c>
      <c r="O97" s="14">
        <v>0.26</v>
      </c>
      <c r="P97" s="14">
        <v>0.3</v>
      </c>
      <c r="Q97" s="14">
        <v>0.2</v>
      </c>
      <c r="R97" s="14">
        <v>0.2</v>
      </c>
      <c r="S97" s="14" t="s">
        <v>65</v>
      </c>
    </row>
    <row r="98" spans="1:19" x14ac:dyDescent="0.3">
      <c r="A98" s="10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</row>
    <row r="99" spans="1:19" x14ac:dyDescent="0.3">
      <c r="A99" s="10" t="s">
        <v>735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spans="1:19" x14ac:dyDescent="0.3">
      <c r="A100" s="10" t="s">
        <v>736</v>
      </c>
      <c r="B100" s="10" t="s">
        <v>737</v>
      </c>
      <c r="C100" s="12" t="s">
        <v>78</v>
      </c>
      <c r="D100" s="12" t="s">
        <v>79</v>
      </c>
      <c r="E100" s="12" t="s">
        <v>79</v>
      </c>
      <c r="F100" s="12" t="s">
        <v>79</v>
      </c>
      <c r="G100" s="12" t="s">
        <v>79</v>
      </c>
      <c r="H100" s="12" t="s">
        <v>79</v>
      </c>
      <c r="I100" s="12" t="s">
        <v>79</v>
      </c>
      <c r="J100" s="12" t="s">
        <v>79</v>
      </c>
      <c r="K100" s="12" t="s">
        <v>79</v>
      </c>
      <c r="L100" s="12" t="s">
        <v>79</v>
      </c>
      <c r="M100" s="12" t="s">
        <v>79</v>
      </c>
      <c r="N100" s="12" t="s">
        <v>79</v>
      </c>
      <c r="O100" s="12" t="s">
        <v>79</v>
      </c>
      <c r="P100" s="12" t="s">
        <v>79</v>
      </c>
      <c r="Q100" s="12" t="s">
        <v>79</v>
      </c>
      <c r="R100" s="12" t="s">
        <v>79</v>
      </c>
      <c r="S100" s="12" t="s">
        <v>79</v>
      </c>
    </row>
    <row r="101" spans="1:19" x14ac:dyDescent="0.3">
      <c r="A101" s="10" t="s">
        <v>738</v>
      </c>
      <c r="B101" s="10" t="s">
        <v>739</v>
      </c>
      <c r="C101" s="12" t="s">
        <v>78</v>
      </c>
      <c r="D101" s="12" t="s">
        <v>78</v>
      </c>
      <c r="E101" s="12" t="s">
        <v>78</v>
      </c>
      <c r="F101" s="12" t="s">
        <v>78</v>
      </c>
      <c r="G101" s="12" t="s">
        <v>78</v>
      </c>
      <c r="H101" s="12" t="s">
        <v>78</v>
      </c>
      <c r="I101" s="12" t="s">
        <v>78</v>
      </c>
      <c r="J101" s="12" t="s">
        <v>78</v>
      </c>
      <c r="K101" s="12" t="s">
        <v>78</v>
      </c>
      <c r="L101" s="12" t="s">
        <v>78</v>
      </c>
      <c r="M101" s="12" t="s">
        <v>78</v>
      </c>
      <c r="N101" s="12" t="s">
        <v>78</v>
      </c>
      <c r="O101" s="12" t="s">
        <v>78</v>
      </c>
      <c r="P101" s="12" t="s">
        <v>78</v>
      </c>
      <c r="Q101" s="12" t="s">
        <v>78</v>
      </c>
      <c r="R101" s="12" t="s">
        <v>78</v>
      </c>
      <c r="S101" s="12" t="s">
        <v>622</v>
      </c>
    </row>
    <row r="102" spans="1:19" x14ac:dyDescent="0.3">
      <c r="A102" s="10" t="s">
        <v>740</v>
      </c>
      <c r="B102" s="10" t="s">
        <v>741</v>
      </c>
      <c r="C102" s="14">
        <v>38000</v>
      </c>
      <c r="D102" s="14">
        <v>33000</v>
      </c>
      <c r="E102" s="14">
        <v>35000</v>
      </c>
      <c r="F102" s="14">
        <v>31000</v>
      </c>
      <c r="G102" s="14">
        <v>29000</v>
      </c>
      <c r="H102" s="14">
        <v>27000</v>
      </c>
      <c r="I102" s="14">
        <v>25000</v>
      </c>
      <c r="J102" s="14">
        <v>26700</v>
      </c>
      <c r="K102" s="14">
        <v>26400</v>
      </c>
      <c r="L102" s="14">
        <v>25000</v>
      </c>
      <c r="M102" s="14">
        <v>23500</v>
      </c>
      <c r="N102" s="14">
        <v>24600</v>
      </c>
      <c r="O102" s="14">
        <v>20550</v>
      </c>
      <c r="P102" s="14">
        <v>20723</v>
      </c>
      <c r="Q102" s="14">
        <v>26324</v>
      </c>
      <c r="R102" s="14">
        <v>26554</v>
      </c>
      <c r="S102" s="14">
        <v>26865</v>
      </c>
    </row>
    <row r="103" spans="1:19" x14ac:dyDescent="0.3">
      <c r="A103" s="10" t="s">
        <v>742</v>
      </c>
      <c r="B103" s="10" t="s">
        <v>743</v>
      </c>
      <c r="C103" s="14" t="s">
        <v>65</v>
      </c>
      <c r="D103" s="14" t="s">
        <v>65</v>
      </c>
      <c r="E103" s="14" t="s">
        <v>65</v>
      </c>
      <c r="F103" s="14" t="s">
        <v>65</v>
      </c>
      <c r="G103" s="14" t="s">
        <v>65</v>
      </c>
      <c r="H103" s="14" t="s">
        <v>65</v>
      </c>
      <c r="I103" s="14" t="s">
        <v>65</v>
      </c>
      <c r="J103" s="14" t="s">
        <v>65</v>
      </c>
      <c r="K103" s="14" t="s">
        <v>65</v>
      </c>
      <c r="L103" s="14">
        <v>2400</v>
      </c>
      <c r="M103" s="14">
        <v>1700</v>
      </c>
      <c r="N103" s="14">
        <v>1852</v>
      </c>
      <c r="O103" s="14">
        <v>1222</v>
      </c>
      <c r="P103" s="14">
        <v>1157</v>
      </c>
      <c r="Q103" s="14">
        <v>2056</v>
      </c>
      <c r="R103" s="14">
        <v>1187</v>
      </c>
      <c r="S103" s="14" t="s">
        <v>65</v>
      </c>
    </row>
    <row r="104" spans="1:19" x14ac:dyDescent="0.3">
      <c r="A104" s="10" t="s">
        <v>744</v>
      </c>
      <c r="B104" s="10" t="s">
        <v>745</v>
      </c>
      <c r="C104" s="14" t="s">
        <v>65</v>
      </c>
      <c r="D104" s="14" t="s">
        <v>65</v>
      </c>
      <c r="E104" s="14" t="s">
        <v>65</v>
      </c>
      <c r="F104" s="14" t="s">
        <v>65</v>
      </c>
      <c r="G104" s="14" t="s">
        <v>65</v>
      </c>
      <c r="H104" s="14" t="s">
        <v>65</v>
      </c>
      <c r="I104" s="14">
        <v>35</v>
      </c>
      <c r="J104" s="14">
        <v>30</v>
      </c>
      <c r="K104" s="14">
        <v>28</v>
      </c>
      <c r="L104" s="14">
        <v>27</v>
      </c>
      <c r="M104" s="14">
        <v>28</v>
      </c>
      <c r="N104" s="14">
        <v>42</v>
      </c>
      <c r="O104" s="14">
        <v>34</v>
      </c>
      <c r="P104" s="14">
        <v>25</v>
      </c>
      <c r="Q104" s="14">
        <v>31</v>
      </c>
      <c r="R104" s="14">
        <v>31</v>
      </c>
      <c r="S104" s="14" t="s">
        <v>65</v>
      </c>
    </row>
    <row r="105" spans="1:19" x14ac:dyDescent="0.3">
      <c r="A105" s="10" t="s">
        <v>746</v>
      </c>
      <c r="B105" s="10" t="s">
        <v>747</v>
      </c>
      <c r="C105" s="14" t="s">
        <v>65</v>
      </c>
      <c r="D105" s="14" t="s">
        <v>65</v>
      </c>
      <c r="E105" s="14" t="s">
        <v>65</v>
      </c>
      <c r="F105" s="14" t="s">
        <v>65</v>
      </c>
      <c r="G105" s="14" t="s">
        <v>65</v>
      </c>
      <c r="H105" s="14">
        <v>31.6</v>
      </c>
      <c r="I105" s="14">
        <v>30</v>
      </c>
      <c r="J105" s="14">
        <v>16</v>
      </c>
      <c r="K105" s="14">
        <v>17</v>
      </c>
      <c r="L105" s="14">
        <v>21</v>
      </c>
      <c r="M105" s="14">
        <v>25</v>
      </c>
      <c r="N105" s="14">
        <v>18.5</v>
      </c>
      <c r="O105" s="14">
        <v>18.8</v>
      </c>
      <c r="P105" s="14">
        <v>17.190000000000001</v>
      </c>
      <c r="Q105" s="14">
        <v>19.5</v>
      </c>
      <c r="R105" s="14">
        <v>20</v>
      </c>
      <c r="S105" s="14" t="s">
        <v>65</v>
      </c>
    </row>
    <row r="106" spans="1:19" x14ac:dyDescent="0.3">
      <c r="A106" s="10" t="s">
        <v>748</v>
      </c>
      <c r="B106" s="10" t="s">
        <v>749</v>
      </c>
      <c r="C106" s="14" t="s">
        <v>65</v>
      </c>
      <c r="D106" s="14" t="s">
        <v>65</v>
      </c>
      <c r="E106" s="14" t="s">
        <v>65</v>
      </c>
      <c r="F106" s="14" t="s">
        <v>65</v>
      </c>
      <c r="G106" s="14" t="s">
        <v>65</v>
      </c>
      <c r="H106" s="14">
        <v>73184</v>
      </c>
      <c r="I106" s="14">
        <v>806580</v>
      </c>
      <c r="J106" s="14">
        <v>2069650</v>
      </c>
      <c r="K106" s="14">
        <v>2926060</v>
      </c>
      <c r="L106" s="14">
        <v>2070580</v>
      </c>
      <c r="M106" s="14">
        <v>1600000</v>
      </c>
      <c r="N106" s="14">
        <v>1600000</v>
      </c>
      <c r="O106" s="14">
        <v>1491950</v>
      </c>
      <c r="P106" s="14">
        <v>2247090</v>
      </c>
      <c r="Q106" s="14">
        <v>3000000</v>
      </c>
      <c r="R106" s="14">
        <v>2030910</v>
      </c>
      <c r="S106" s="14" t="s">
        <v>65</v>
      </c>
    </row>
    <row r="107" spans="1:19" x14ac:dyDescent="0.3">
      <c r="A107" s="10" t="s">
        <v>750</v>
      </c>
      <c r="B107" s="10" t="s">
        <v>751</v>
      </c>
      <c r="C107" s="12" t="s">
        <v>622</v>
      </c>
      <c r="D107" s="12" t="s">
        <v>622</v>
      </c>
      <c r="E107" s="12" t="s">
        <v>622</v>
      </c>
      <c r="F107" s="12" t="s">
        <v>622</v>
      </c>
      <c r="G107" s="12" t="s">
        <v>622</v>
      </c>
      <c r="H107" s="12" t="s">
        <v>622</v>
      </c>
      <c r="I107" s="12" t="s">
        <v>622</v>
      </c>
      <c r="J107" s="12" t="s">
        <v>78</v>
      </c>
      <c r="K107" s="12" t="s">
        <v>78</v>
      </c>
      <c r="L107" s="12" t="s">
        <v>78</v>
      </c>
      <c r="M107" s="12" t="s">
        <v>78</v>
      </c>
      <c r="N107" s="12" t="s">
        <v>78</v>
      </c>
      <c r="O107" s="12" t="s">
        <v>78</v>
      </c>
      <c r="P107" s="12" t="s">
        <v>79</v>
      </c>
      <c r="Q107" s="12" t="s">
        <v>79</v>
      </c>
      <c r="R107" s="12" t="s">
        <v>79</v>
      </c>
      <c r="S107" s="12" t="s">
        <v>622</v>
      </c>
    </row>
    <row r="108" spans="1:19" x14ac:dyDescent="0.3">
      <c r="A108" s="10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</row>
    <row r="109" spans="1:19" x14ac:dyDescent="0.3">
      <c r="A109" s="10" t="s">
        <v>669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</row>
    <row r="110" spans="1:19" x14ac:dyDescent="0.3">
      <c r="A110" s="10" t="s">
        <v>752</v>
      </c>
      <c r="B110" s="10" t="s">
        <v>753</v>
      </c>
      <c r="C110" s="12" t="s">
        <v>78</v>
      </c>
      <c r="D110" s="12" t="s">
        <v>79</v>
      </c>
      <c r="E110" s="12" t="s">
        <v>79</v>
      </c>
      <c r="F110" s="12" t="s">
        <v>79</v>
      </c>
      <c r="G110" s="12" t="s">
        <v>79</v>
      </c>
      <c r="H110" s="12" t="s">
        <v>79</v>
      </c>
      <c r="I110" s="12" t="s">
        <v>79</v>
      </c>
      <c r="J110" s="12" t="s">
        <v>79</v>
      </c>
      <c r="K110" s="12" t="s">
        <v>79</v>
      </c>
      <c r="L110" s="12" t="s">
        <v>79</v>
      </c>
      <c r="M110" s="12" t="s">
        <v>79</v>
      </c>
      <c r="N110" s="12" t="s">
        <v>79</v>
      </c>
      <c r="O110" s="12" t="s">
        <v>79</v>
      </c>
      <c r="P110" s="12" t="s">
        <v>79</v>
      </c>
      <c r="Q110" s="12" t="s">
        <v>79</v>
      </c>
      <c r="R110" s="12" t="s">
        <v>79</v>
      </c>
      <c r="S110" s="12" t="s">
        <v>622</v>
      </c>
    </row>
    <row r="111" spans="1:19" x14ac:dyDescent="0.3">
      <c r="A111" s="10" t="s">
        <v>754</v>
      </c>
      <c r="B111" s="10" t="s">
        <v>755</v>
      </c>
      <c r="C111" s="14" t="s">
        <v>65</v>
      </c>
      <c r="D111" s="14" t="s">
        <v>65</v>
      </c>
      <c r="E111" s="14" t="s">
        <v>65</v>
      </c>
      <c r="F111" s="14" t="s">
        <v>65</v>
      </c>
      <c r="G111" s="14" t="s">
        <v>65</v>
      </c>
      <c r="H111" s="14" t="s">
        <v>65</v>
      </c>
      <c r="I111" s="14" t="s">
        <v>65</v>
      </c>
      <c r="J111" s="14" t="s">
        <v>65</v>
      </c>
      <c r="K111" s="14" t="s">
        <v>65</v>
      </c>
      <c r="L111" s="14" t="s">
        <v>65</v>
      </c>
      <c r="M111" s="14">
        <v>336</v>
      </c>
      <c r="N111" s="14">
        <v>432</v>
      </c>
      <c r="O111" s="14">
        <v>320</v>
      </c>
      <c r="P111" s="14">
        <v>444</v>
      </c>
      <c r="Q111" s="14">
        <v>10822</v>
      </c>
      <c r="R111" s="14">
        <v>11834</v>
      </c>
      <c r="S111" s="14" t="s">
        <v>65</v>
      </c>
    </row>
    <row r="112" spans="1:19" x14ac:dyDescent="0.3">
      <c r="A112" s="10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</row>
    <row r="113" spans="1:19" x14ac:dyDescent="0.3">
      <c r="A113" s="10" t="s">
        <v>756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</row>
    <row r="114" spans="1:19" x14ac:dyDescent="0.3">
      <c r="A114" s="10" t="s">
        <v>757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</row>
    <row r="115" spans="1:19" x14ac:dyDescent="0.3">
      <c r="A115" s="10" t="s">
        <v>758</v>
      </c>
      <c r="B115" s="10" t="s">
        <v>759</v>
      </c>
      <c r="C115" s="14" t="s">
        <v>65</v>
      </c>
      <c r="D115" s="14" t="s">
        <v>65</v>
      </c>
      <c r="E115" s="14" t="s">
        <v>65</v>
      </c>
      <c r="F115" s="14">
        <v>15</v>
      </c>
      <c r="G115" s="14">
        <v>16</v>
      </c>
      <c r="H115" s="14">
        <v>17</v>
      </c>
      <c r="I115" s="14">
        <v>18</v>
      </c>
      <c r="J115" s="14">
        <v>19</v>
      </c>
      <c r="K115" s="14">
        <v>20</v>
      </c>
      <c r="L115" s="14">
        <v>21</v>
      </c>
      <c r="M115" s="14">
        <v>22</v>
      </c>
      <c r="N115" s="14">
        <v>23</v>
      </c>
      <c r="O115" s="14">
        <v>24</v>
      </c>
      <c r="P115" s="14">
        <v>25</v>
      </c>
      <c r="Q115" s="14">
        <v>26</v>
      </c>
      <c r="R115" s="14">
        <v>27</v>
      </c>
      <c r="S115" s="14">
        <v>28</v>
      </c>
    </row>
    <row r="116" spans="1:19" x14ac:dyDescent="0.3">
      <c r="A116" s="10" t="s">
        <v>760</v>
      </c>
      <c r="B116" s="10" t="s">
        <v>761</v>
      </c>
      <c r="C116" s="14">
        <v>3</v>
      </c>
      <c r="D116" s="14">
        <v>3</v>
      </c>
      <c r="E116" s="14">
        <v>5</v>
      </c>
      <c r="F116" s="14">
        <v>6</v>
      </c>
      <c r="G116" s="14">
        <v>6</v>
      </c>
      <c r="H116" s="14">
        <v>7</v>
      </c>
      <c r="I116" s="14">
        <v>7</v>
      </c>
      <c r="J116" s="14">
        <v>7</v>
      </c>
      <c r="K116" s="14">
        <v>8</v>
      </c>
      <c r="L116" s="14">
        <v>6</v>
      </c>
      <c r="M116" s="14">
        <v>7</v>
      </c>
      <c r="N116" s="14">
        <v>7</v>
      </c>
      <c r="O116" s="14">
        <v>7</v>
      </c>
      <c r="P116" s="14">
        <v>8</v>
      </c>
      <c r="Q116" s="14">
        <v>8</v>
      </c>
      <c r="R116" s="14">
        <v>8</v>
      </c>
      <c r="S116" s="14" t="s">
        <v>65</v>
      </c>
    </row>
    <row r="117" spans="1:19" x14ac:dyDescent="0.3">
      <c r="A117" s="10" t="s">
        <v>762</v>
      </c>
      <c r="B117" s="10" t="s">
        <v>763</v>
      </c>
      <c r="C117" s="14">
        <v>3</v>
      </c>
      <c r="D117" s="14">
        <v>3</v>
      </c>
      <c r="E117" s="14">
        <v>5</v>
      </c>
      <c r="F117" s="14">
        <v>6</v>
      </c>
      <c r="G117" s="14">
        <v>6</v>
      </c>
      <c r="H117" s="14">
        <v>7</v>
      </c>
      <c r="I117" s="14">
        <v>7</v>
      </c>
      <c r="J117" s="14">
        <v>7</v>
      </c>
      <c r="K117" s="14">
        <v>8</v>
      </c>
      <c r="L117" s="14">
        <v>6</v>
      </c>
      <c r="M117" s="14">
        <v>7</v>
      </c>
      <c r="N117" s="14">
        <v>7</v>
      </c>
      <c r="O117" s="14">
        <v>7</v>
      </c>
      <c r="P117" s="14">
        <v>8</v>
      </c>
      <c r="Q117" s="14">
        <v>8</v>
      </c>
      <c r="R117" s="14">
        <v>8</v>
      </c>
      <c r="S117" s="14" t="s">
        <v>65</v>
      </c>
    </row>
    <row r="118" spans="1:19" x14ac:dyDescent="0.3">
      <c r="A118" s="10" t="s">
        <v>764</v>
      </c>
      <c r="B118" s="10" t="s">
        <v>765</v>
      </c>
      <c r="C118" s="14">
        <v>6</v>
      </c>
      <c r="D118" s="14">
        <v>7</v>
      </c>
      <c r="E118" s="14">
        <v>5</v>
      </c>
      <c r="F118" s="14">
        <v>7</v>
      </c>
      <c r="G118" s="14">
        <v>7</v>
      </c>
      <c r="H118" s="14">
        <v>7</v>
      </c>
      <c r="I118" s="14">
        <v>7</v>
      </c>
      <c r="J118" s="14">
        <v>6</v>
      </c>
      <c r="K118" s="14">
        <v>7</v>
      </c>
      <c r="L118" s="14">
        <v>7</v>
      </c>
      <c r="M118" s="14">
        <v>7</v>
      </c>
      <c r="N118" s="14">
        <v>6</v>
      </c>
      <c r="O118" s="14">
        <v>6</v>
      </c>
      <c r="P118" s="14">
        <v>6</v>
      </c>
      <c r="Q118" s="14">
        <v>6</v>
      </c>
      <c r="R118" s="14">
        <v>6</v>
      </c>
      <c r="S118" s="14" t="s">
        <v>65</v>
      </c>
    </row>
    <row r="119" spans="1:19" x14ac:dyDescent="0.3">
      <c r="A119" s="10" t="s">
        <v>766</v>
      </c>
      <c r="B119" s="10" t="s">
        <v>767</v>
      </c>
      <c r="C119" s="14">
        <v>83.33</v>
      </c>
      <c r="D119" s="14">
        <v>85.713999999999999</v>
      </c>
      <c r="E119" s="14">
        <v>100</v>
      </c>
      <c r="F119" s="14">
        <v>100</v>
      </c>
      <c r="G119" s="14">
        <v>100</v>
      </c>
      <c r="H119" s="14">
        <v>100</v>
      </c>
      <c r="I119" s="14">
        <v>100</v>
      </c>
      <c r="J119" s="14">
        <v>97.61</v>
      </c>
      <c r="K119" s="14">
        <v>100</v>
      </c>
      <c r="L119" s="14">
        <v>96.07</v>
      </c>
      <c r="M119" s="14">
        <v>95.65</v>
      </c>
      <c r="N119" s="14">
        <v>100</v>
      </c>
      <c r="O119" s="14">
        <v>100</v>
      </c>
      <c r="P119" s="14">
        <v>100</v>
      </c>
      <c r="Q119" s="14">
        <v>100</v>
      </c>
      <c r="R119" s="14">
        <v>100</v>
      </c>
      <c r="S119" s="14" t="s">
        <v>65</v>
      </c>
    </row>
    <row r="120" spans="1:19" x14ac:dyDescent="0.3">
      <c r="A120" s="10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</row>
    <row r="121" spans="1:19" x14ac:dyDescent="0.3">
      <c r="A121" s="10" t="s">
        <v>768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</row>
    <row r="122" spans="1:19" x14ac:dyDescent="0.3">
      <c r="A122" s="10" t="s">
        <v>769</v>
      </c>
      <c r="B122" s="10" t="s">
        <v>770</v>
      </c>
      <c r="C122" s="12" t="s">
        <v>622</v>
      </c>
      <c r="D122" s="12" t="s">
        <v>622</v>
      </c>
      <c r="E122" s="12" t="s">
        <v>622</v>
      </c>
      <c r="F122" s="12" t="s">
        <v>622</v>
      </c>
      <c r="G122" s="12" t="s">
        <v>622</v>
      </c>
      <c r="H122" s="12" t="s">
        <v>622</v>
      </c>
      <c r="I122" s="12" t="s">
        <v>622</v>
      </c>
      <c r="J122" s="12" t="s">
        <v>79</v>
      </c>
      <c r="K122" s="12" t="s">
        <v>79</v>
      </c>
      <c r="L122" s="12" t="s">
        <v>79</v>
      </c>
      <c r="M122" s="12" t="s">
        <v>79</v>
      </c>
      <c r="N122" s="12" t="s">
        <v>79</v>
      </c>
      <c r="O122" s="12" t="s">
        <v>79</v>
      </c>
      <c r="P122" s="12" t="s">
        <v>79</v>
      </c>
      <c r="Q122" s="12" t="s">
        <v>79</v>
      </c>
      <c r="R122" s="12" t="s">
        <v>79</v>
      </c>
      <c r="S122" s="12" t="s">
        <v>622</v>
      </c>
    </row>
    <row r="123" spans="1:19" x14ac:dyDescent="0.3">
      <c r="A123" s="10" t="s">
        <v>771</v>
      </c>
      <c r="B123" s="10" t="s">
        <v>772</v>
      </c>
      <c r="C123" s="14">
        <v>7</v>
      </c>
      <c r="D123" s="14">
        <v>8</v>
      </c>
      <c r="E123" s="14">
        <v>7</v>
      </c>
      <c r="F123" s="14">
        <v>8</v>
      </c>
      <c r="G123" s="14">
        <v>8</v>
      </c>
      <c r="H123" s="14">
        <v>9</v>
      </c>
      <c r="I123" s="14">
        <v>9</v>
      </c>
      <c r="J123" s="14">
        <v>9</v>
      </c>
      <c r="K123" s="14">
        <v>10</v>
      </c>
      <c r="L123" s="14">
        <v>8</v>
      </c>
      <c r="M123" s="14">
        <v>9</v>
      </c>
      <c r="N123" s="14">
        <v>9</v>
      </c>
      <c r="O123" s="14">
        <v>9</v>
      </c>
      <c r="P123" s="14">
        <v>10</v>
      </c>
      <c r="Q123" s="14">
        <v>11</v>
      </c>
      <c r="R123" s="14">
        <v>9</v>
      </c>
      <c r="S123" s="14" t="s">
        <v>65</v>
      </c>
    </row>
    <row r="124" spans="1:19" x14ac:dyDescent="0.3">
      <c r="A124" s="10" t="s">
        <v>773</v>
      </c>
      <c r="B124" s="10" t="s">
        <v>774</v>
      </c>
      <c r="C124" s="14">
        <v>11</v>
      </c>
      <c r="D124" s="14">
        <v>10</v>
      </c>
      <c r="E124" s="14">
        <v>10</v>
      </c>
      <c r="F124" s="14">
        <v>8</v>
      </c>
      <c r="G124" s="14">
        <v>7</v>
      </c>
      <c r="H124" s="14">
        <v>7</v>
      </c>
      <c r="I124" s="14">
        <v>7</v>
      </c>
      <c r="J124" s="14">
        <v>7</v>
      </c>
      <c r="K124" s="14">
        <v>8</v>
      </c>
      <c r="L124" s="14">
        <v>6</v>
      </c>
      <c r="M124" s="14">
        <v>6</v>
      </c>
      <c r="N124" s="14">
        <v>6</v>
      </c>
      <c r="O124" s="14">
        <v>5</v>
      </c>
      <c r="P124" s="14">
        <v>4</v>
      </c>
      <c r="Q124" s="14">
        <v>5</v>
      </c>
      <c r="R124" s="14">
        <v>5</v>
      </c>
      <c r="S124" s="14" t="s">
        <v>65</v>
      </c>
    </row>
    <row r="125" spans="1:19" x14ac:dyDescent="0.3">
      <c r="A125" s="10" t="s">
        <v>775</v>
      </c>
      <c r="B125" s="10" t="s">
        <v>776</v>
      </c>
      <c r="C125" s="14">
        <v>6</v>
      </c>
      <c r="D125" s="14">
        <v>7</v>
      </c>
      <c r="E125" s="14">
        <v>6</v>
      </c>
      <c r="F125" s="14">
        <v>6</v>
      </c>
      <c r="G125" s="14">
        <v>7</v>
      </c>
      <c r="H125" s="14">
        <v>8</v>
      </c>
      <c r="I125" s="14">
        <v>8</v>
      </c>
      <c r="J125" s="14">
        <v>8</v>
      </c>
      <c r="K125" s="14">
        <v>9</v>
      </c>
      <c r="L125" s="14">
        <v>7</v>
      </c>
      <c r="M125" s="14">
        <v>8</v>
      </c>
      <c r="N125" s="14">
        <v>8</v>
      </c>
      <c r="O125" s="14">
        <v>8</v>
      </c>
      <c r="P125" s="14">
        <v>9</v>
      </c>
      <c r="Q125" s="14">
        <v>10</v>
      </c>
      <c r="R125" s="14">
        <v>9</v>
      </c>
      <c r="S125" s="14" t="s">
        <v>65</v>
      </c>
    </row>
    <row r="126" spans="1:19" x14ac:dyDescent="0.3">
      <c r="A126" s="10" t="s">
        <v>777</v>
      </c>
      <c r="B126" s="10" t="s">
        <v>778</v>
      </c>
      <c r="C126" s="14">
        <v>6</v>
      </c>
      <c r="D126" s="14">
        <v>8</v>
      </c>
      <c r="E126" s="14">
        <v>8</v>
      </c>
      <c r="F126" s="14">
        <v>12</v>
      </c>
      <c r="G126" s="14">
        <v>9</v>
      </c>
      <c r="H126" s="14">
        <v>9</v>
      </c>
      <c r="I126" s="14">
        <v>9</v>
      </c>
      <c r="J126" s="14">
        <v>8</v>
      </c>
      <c r="K126" s="14">
        <v>8</v>
      </c>
      <c r="L126" s="14">
        <v>9</v>
      </c>
      <c r="M126" s="14">
        <v>10</v>
      </c>
      <c r="N126" s="14">
        <v>9</v>
      </c>
      <c r="O126" s="14">
        <v>8</v>
      </c>
      <c r="P126" s="14">
        <v>13</v>
      </c>
      <c r="Q126" s="14">
        <v>8</v>
      </c>
      <c r="R126" s="14">
        <v>9</v>
      </c>
      <c r="S126" s="14" t="s">
        <v>65</v>
      </c>
    </row>
    <row r="127" spans="1:19" x14ac:dyDescent="0.3">
      <c r="A127" s="10" t="s">
        <v>779</v>
      </c>
      <c r="B127" s="10" t="s">
        <v>780</v>
      </c>
      <c r="C127" s="14">
        <v>90.9</v>
      </c>
      <c r="D127" s="14">
        <v>93.75</v>
      </c>
      <c r="E127" s="14">
        <v>100</v>
      </c>
      <c r="F127" s="14">
        <v>97.78</v>
      </c>
      <c r="G127" s="14">
        <v>97.53</v>
      </c>
      <c r="H127" s="14">
        <v>97.53</v>
      </c>
      <c r="I127" s="14">
        <v>98.76</v>
      </c>
      <c r="J127" s="14">
        <v>97.22</v>
      </c>
      <c r="K127" s="14">
        <v>98.64</v>
      </c>
      <c r="L127" s="14">
        <v>96</v>
      </c>
      <c r="M127" s="14">
        <v>100</v>
      </c>
      <c r="N127" s="14">
        <v>96.63</v>
      </c>
      <c r="O127" s="14">
        <v>98.6</v>
      </c>
      <c r="P127" s="14">
        <v>98.35</v>
      </c>
      <c r="Q127" s="14">
        <v>98.7</v>
      </c>
      <c r="R127" s="14">
        <v>100</v>
      </c>
      <c r="S127" s="14" t="s">
        <v>65</v>
      </c>
    </row>
    <row r="128" spans="1:19" x14ac:dyDescent="0.3">
      <c r="A128" s="10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</row>
    <row r="129" spans="1:19" x14ac:dyDescent="0.3">
      <c r="A129" s="10" t="s">
        <v>781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</row>
    <row r="130" spans="1:19" x14ac:dyDescent="0.3">
      <c r="A130" s="10" t="s">
        <v>782</v>
      </c>
      <c r="B130" s="10" t="s">
        <v>783</v>
      </c>
      <c r="C130" s="12" t="s">
        <v>622</v>
      </c>
      <c r="D130" s="12" t="s">
        <v>622</v>
      </c>
      <c r="E130" s="12" t="s">
        <v>622</v>
      </c>
      <c r="F130" s="12" t="s">
        <v>622</v>
      </c>
      <c r="G130" s="12" t="s">
        <v>622</v>
      </c>
      <c r="H130" s="12" t="s">
        <v>622</v>
      </c>
      <c r="I130" s="12" t="s">
        <v>622</v>
      </c>
      <c r="J130" s="12" t="s">
        <v>79</v>
      </c>
      <c r="K130" s="12" t="s">
        <v>79</v>
      </c>
      <c r="L130" s="12" t="s">
        <v>79</v>
      </c>
      <c r="M130" s="12" t="s">
        <v>79</v>
      </c>
      <c r="N130" s="12" t="s">
        <v>79</v>
      </c>
      <c r="O130" s="12" t="s">
        <v>79</v>
      </c>
      <c r="P130" s="12" t="s">
        <v>79</v>
      </c>
      <c r="Q130" s="12" t="s">
        <v>79</v>
      </c>
      <c r="R130" s="12" t="s">
        <v>79</v>
      </c>
      <c r="S130" s="12" t="s">
        <v>622</v>
      </c>
    </row>
    <row r="131" spans="1:19" x14ac:dyDescent="0.3">
      <c r="A131" s="10" t="s">
        <v>784</v>
      </c>
      <c r="B131" s="10" t="s">
        <v>785</v>
      </c>
      <c r="C131" s="12" t="s">
        <v>622</v>
      </c>
      <c r="D131" s="12" t="s">
        <v>622</v>
      </c>
      <c r="E131" s="12" t="s">
        <v>622</v>
      </c>
      <c r="F131" s="12" t="s">
        <v>622</v>
      </c>
      <c r="G131" s="12" t="s">
        <v>622</v>
      </c>
      <c r="H131" s="12" t="s">
        <v>622</v>
      </c>
      <c r="I131" s="12" t="s">
        <v>622</v>
      </c>
      <c r="J131" s="12" t="s">
        <v>79</v>
      </c>
      <c r="K131" s="12" t="s">
        <v>79</v>
      </c>
      <c r="L131" s="12" t="s">
        <v>79</v>
      </c>
      <c r="M131" s="12" t="s">
        <v>79</v>
      </c>
      <c r="N131" s="12" t="s">
        <v>79</v>
      </c>
      <c r="O131" s="12" t="s">
        <v>79</v>
      </c>
      <c r="P131" s="12" t="s">
        <v>79</v>
      </c>
      <c r="Q131" s="12" t="s">
        <v>79</v>
      </c>
      <c r="R131" s="12" t="s">
        <v>79</v>
      </c>
      <c r="S131" s="12" t="s">
        <v>622</v>
      </c>
    </row>
    <row r="132" spans="1:19" x14ac:dyDescent="0.3">
      <c r="A132" s="10" t="s">
        <v>786</v>
      </c>
      <c r="B132" s="10" t="s">
        <v>787</v>
      </c>
      <c r="C132" s="14">
        <v>3</v>
      </c>
      <c r="D132" s="14">
        <v>3</v>
      </c>
      <c r="E132" s="14">
        <v>5</v>
      </c>
      <c r="F132" s="14">
        <v>6</v>
      </c>
      <c r="G132" s="14">
        <v>6</v>
      </c>
      <c r="H132" s="14">
        <v>7</v>
      </c>
      <c r="I132" s="14">
        <v>7</v>
      </c>
      <c r="J132" s="14">
        <v>7</v>
      </c>
      <c r="K132" s="14">
        <v>8</v>
      </c>
      <c r="L132" s="14">
        <v>6</v>
      </c>
      <c r="M132" s="14">
        <v>7</v>
      </c>
      <c r="N132" s="14">
        <v>7</v>
      </c>
      <c r="O132" s="14">
        <v>7</v>
      </c>
      <c r="P132" s="14">
        <v>8</v>
      </c>
      <c r="Q132" s="14">
        <v>9</v>
      </c>
      <c r="R132" s="14">
        <v>8</v>
      </c>
      <c r="S132" s="14" t="s">
        <v>65</v>
      </c>
    </row>
    <row r="133" spans="1:19" x14ac:dyDescent="0.3">
      <c r="A133" s="10" t="s">
        <v>788</v>
      </c>
      <c r="B133" s="10" t="s">
        <v>789</v>
      </c>
      <c r="C133" s="14">
        <v>3</v>
      </c>
      <c r="D133" s="14">
        <v>3</v>
      </c>
      <c r="E133" s="14">
        <v>5</v>
      </c>
      <c r="F133" s="14">
        <v>6</v>
      </c>
      <c r="G133" s="14">
        <v>6</v>
      </c>
      <c r="H133" s="14">
        <v>7</v>
      </c>
      <c r="I133" s="14">
        <v>7</v>
      </c>
      <c r="J133" s="14">
        <v>7</v>
      </c>
      <c r="K133" s="14">
        <v>8</v>
      </c>
      <c r="L133" s="14">
        <v>6</v>
      </c>
      <c r="M133" s="14">
        <v>7</v>
      </c>
      <c r="N133" s="14">
        <v>7</v>
      </c>
      <c r="O133" s="14">
        <v>7</v>
      </c>
      <c r="P133" s="14">
        <v>8</v>
      </c>
      <c r="Q133" s="14">
        <v>9</v>
      </c>
      <c r="R133" s="14">
        <v>8</v>
      </c>
      <c r="S133" s="14" t="s">
        <v>65</v>
      </c>
    </row>
    <row r="134" spans="1:19" x14ac:dyDescent="0.3">
      <c r="A134" s="10" t="s">
        <v>790</v>
      </c>
      <c r="B134" s="10" t="s">
        <v>791</v>
      </c>
      <c r="C134" s="14">
        <v>5</v>
      </c>
      <c r="D134" s="14">
        <v>6</v>
      </c>
      <c r="E134" s="14">
        <v>5</v>
      </c>
      <c r="F134" s="14">
        <v>6</v>
      </c>
      <c r="G134" s="14">
        <v>6</v>
      </c>
      <c r="H134" s="14">
        <v>6</v>
      </c>
      <c r="I134" s="14">
        <v>6</v>
      </c>
      <c r="J134" s="14">
        <v>6</v>
      </c>
      <c r="K134" s="14">
        <v>6</v>
      </c>
      <c r="L134" s="14">
        <v>6</v>
      </c>
      <c r="M134" s="14">
        <v>6</v>
      </c>
      <c r="N134" s="14">
        <v>6</v>
      </c>
      <c r="O134" s="14">
        <v>6</v>
      </c>
      <c r="P134" s="14">
        <v>6</v>
      </c>
      <c r="Q134" s="14">
        <v>6</v>
      </c>
      <c r="R134" s="14">
        <v>6</v>
      </c>
      <c r="S134" s="14" t="s">
        <v>65</v>
      </c>
    </row>
    <row r="135" spans="1:19" x14ac:dyDescent="0.3">
      <c r="A135" s="10" t="s">
        <v>792</v>
      </c>
      <c r="B135" s="10" t="s">
        <v>793</v>
      </c>
      <c r="C135" s="14">
        <v>88.234999999999999</v>
      </c>
      <c r="D135" s="14">
        <v>83.33</v>
      </c>
      <c r="E135" s="14">
        <v>100</v>
      </c>
      <c r="F135" s="14">
        <v>100</v>
      </c>
      <c r="G135" s="14">
        <v>100</v>
      </c>
      <c r="H135" s="14">
        <v>97.61</v>
      </c>
      <c r="I135" s="14">
        <v>100</v>
      </c>
      <c r="J135" s="14">
        <v>97.61</v>
      </c>
      <c r="K135" s="14">
        <v>100</v>
      </c>
      <c r="L135" s="14">
        <v>95.34</v>
      </c>
      <c r="M135" s="14">
        <v>100</v>
      </c>
      <c r="N135" s="14">
        <v>97.87</v>
      </c>
      <c r="O135" s="14">
        <v>100</v>
      </c>
      <c r="P135" s="14">
        <v>100</v>
      </c>
      <c r="Q135" s="14">
        <v>100</v>
      </c>
      <c r="R135" s="14">
        <v>100</v>
      </c>
      <c r="S135" s="14" t="s">
        <v>65</v>
      </c>
    </row>
    <row r="136" spans="1:19" x14ac:dyDescent="0.3">
      <c r="A136" s="10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</row>
    <row r="137" spans="1:19" x14ac:dyDescent="0.3">
      <c r="A137" s="10" t="s">
        <v>702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</row>
    <row r="138" spans="1:19" x14ac:dyDescent="0.3">
      <c r="A138" s="10" t="s">
        <v>794</v>
      </c>
      <c r="B138" s="10" t="s">
        <v>795</v>
      </c>
      <c r="C138" s="14">
        <v>2</v>
      </c>
      <c r="D138" s="14">
        <v>2</v>
      </c>
      <c r="E138" s="14">
        <v>2</v>
      </c>
      <c r="F138" s="14">
        <v>2</v>
      </c>
      <c r="G138" s="14">
        <v>2</v>
      </c>
      <c r="H138" s="14">
        <v>2</v>
      </c>
      <c r="I138" s="14">
        <v>1</v>
      </c>
      <c r="J138" s="14">
        <v>1</v>
      </c>
      <c r="K138" s="14">
        <v>1</v>
      </c>
      <c r="L138" s="14">
        <v>1</v>
      </c>
      <c r="M138" s="14">
        <v>1</v>
      </c>
      <c r="N138" s="14">
        <v>1</v>
      </c>
      <c r="O138" s="14">
        <v>1</v>
      </c>
      <c r="P138" s="14">
        <v>0</v>
      </c>
      <c r="Q138" s="14">
        <v>0</v>
      </c>
      <c r="R138" s="14">
        <v>0</v>
      </c>
      <c r="S138" s="14" t="s">
        <v>65</v>
      </c>
    </row>
    <row r="139" spans="1:19" x14ac:dyDescent="0.3">
      <c r="A139" s="10" t="s">
        <v>796</v>
      </c>
      <c r="B139" s="10" t="s">
        <v>797</v>
      </c>
      <c r="C139" s="14">
        <v>0</v>
      </c>
      <c r="D139" s="14">
        <v>1</v>
      </c>
      <c r="E139" s="14">
        <v>1</v>
      </c>
      <c r="F139" s="14">
        <v>1</v>
      </c>
      <c r="G139" s="14">
        <v>1</v>
      </c>
      <c r="H139" s="14">
        <v>2</v>
      </c>
      <c r="I139" s="14">
        <v>2</v>
      </c>
      <c r="J139" s="14">
        <v>2</v>
      </c>
      <c r="K139" s="14">
        <v>2</v>
      </c>
      <c r="L139" s="14">
        <v>2</v>
      </c>
      <c r="M139" s="14">
        <v>2</v>
      </c>
      <c r="N139" s="14">
        <v>2</v>
      </c>
      <c r="O139" s="14">
        <v>2</v>
      </c>
      <c r="P139" s="14">
        <v>2</v>
      </c>
      <c r="Q139" s="14">
        <v>4</v>
      </c>
      <c r="R139" s="14">
        <v>3</v>
      </c>
      <c r="S139" s="14" t="s">
        <v>65</v>
      </c>
    </row>
    <row r="140" spans="1:19" x14ac:dyDescent="0.3">
      <c r="A140" s="10" t="s">
        <v>798</v>
      </c>
      <c r="B140" s="10" t="s">
        <v>799</v>
      </c>
      <c r="C140" s="14" t="s">
        <v>65</v>
      </c>
      <c r="D140" s="14" t="s">
        <v>65</v>
      </c>
      <c r="E140" s="14" t="s">
        <v>65</v>
      </c>
      <c r="F140" s="14">
        <v>75</v>
      </c>
      <c r="G140" s="14">
        <v>75</v>
      </c>
      <c r="H140" s="14">
        <v>75</v>
      </c>
      <c r="I140" s="14">
        <v>75</v>
      </c>
      <c r="J140" s="14">
        <v>75</v>
      </c>
      <c r="K140" s="14">
        <v>75</v>
      </c>
      <c r="L140" s="14">
        <v>75</v>
      </c>
      <c r="M140" s="14">
        <v>75</v>
      </c>
      <c r="N140" s="14">
        <v>75</v>
      </c>
      <c r="O140" s="14">
        <v>75</v>
      </c>
      <c r="P140" s="14">
        <v>75</v>
      </c>
      <c r="Q140" s="14">
        <v>75</v>
      </c>
      <c r="R140" s="14">
        <v>75</v>
      </c>
      <c r="S140" s="14" t="s">
        <v>65</v>
      </c>
    </row>
    <row r="141" spans="1:19" x14ac:dyDescent="0.3">
      <c r="A141" s="10" t="s">
        <v>800</v>
      </c>
      <c r="B141" s="10" t="s">
        <v>801</v>
      </c>
      <c r="C141" s="14">
        <v>60</v>
      </c>
      <c r="D141" s="14">
        <v>55</v>
      </c>
      <c r="E141" s="14">
        <v>56</v>
      </c>
      <c r="F141" s="14">
        <v>57</v>
      </c>
      <c r="G141" s="14">
        <v>48</v>
      </c>
      <c r="H141" s="14">
        <v>49</v>
      </c>
      <c r="I141" s="14">
        <v>50</v>
      </c>
      <c r="J141" s="14">
        <v>51</v>
      </c>
      <c r="K141" s="14">
        <v>52</v>
      </c>
      <c r="L141" s="14">
        <v>43</v>
      </c>
      <c r="M141" s="14">
        <v>44</v>
      </c>
      <c r="N141" s="14">
        <v>45</v>
      </c>
      <c r="O141" s="14">
        <v>46</v>
      </c>
      <c r="P141" s="14">
        <v>47</v>
      </c>
      <c r="Q141" s="14">
        <v>48</v>
      </c>
      <c r="R141" s="14">
        <v>53</v>
      </c>
      <c r="S141" s="14" t="s">
        <v>65</v>
      </c>
    </row>
    <row r="142" spans="1:19" x14ac:dyDescent="0.3">
      <c r="A142" s="10" t="s">
        <v>802</v>
      </c>
      <c r="B142" s="10" t="s">
        <v>803</v>
      </c>
      <c r="C142" s="14">
        <v>73</v>
      </c>
      <c r="D142" s="14">
        <v>74</v>
      </c>
      <c r="E142" s="14">
        <v>75</v>
      </c>
      <c r="F142" s="14">
        <v>76</v>
      </c>
      <c r="G142" s="14">
        <v>71</v>
      </c>
      <c r="H142" s="14">
        <v>72</v>
      </c>
      <c r="I142" s="14">
        <v>73</v>
      </c>
      <c r="J142" s="14">
        <v>74</v>
      </c>
      <c r="K142" s="14">
        <v>75</v>
      </c>
      <c r="L142" s="14">
        <v>76</v>
      </c>
      <c r="M142" s="14">
        <v>77</v>
      </c>
      <c r="N142" s="14">
        <v>78</v>
      </c>
      <c r="O142" s="14">
        <v>75</v>
      </c>
      <c r="P142" s="14">
        <v>76</v>
      </c>
      <c r="Q142" s="14">
        <v>72</v>
      </c>
      <c r="R142" s="14">
        <v>73</v>
      </c>
      <c r="S142" s="14" t="s">
        <v>65</v>
      </c>
    </row>
    <row r="143" spans="1:19" x14ac:dyDescent="0.3">
      <c r="A143" s="10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</row>
    <row r="144" spans="1:19" x14ac:dyDescent="0.3">
      <c r="A144" s="10" t="s">
        <v>804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</row>
    <row r="145" spans="1:19" x14ac:dyDescent="0.3">
      <c r="A145" s="10" t="s">
        <v>805</v>
      </c>
      <c r="B145" s="10" t="s">
        <v>806</v>
      </c>
      <c r="C145" s="14">
        <v>5</v>
      </c>
      <c r="D145" s="14">
        <v>6</v>
      </c>
      <c r="E145" s="14">
        <v>5</v>
      </c>
      <c r="F145" s="14">
        <v>6</v>
      </c>
      <c r="G145" s="14">
        <v>6</v>
      </c>
      <c r="H145" s="14">
        <v>7</v>
      </c>
      <c r="I145" s="14">
        <v>7</v>
      </c>
      <c r="J145" s="14">
        <v>7</v>
      </c>
      <c r="K145" s="14">
        <v>8</v>
      </c>
      <c r="L145" s="14">
        <v>6</v>
      </c>
      <c r="M145" s="14">
        <v>7</v>
      </c>
      <c r="N145" s="14">
        <v>7</v>
      </c>
      <c r="O145" s="14">
        <v>7</v>
      </c>
      <c r="P145" s="14">
        <v>8</v>
      </c>
      <c r="Q145" s="14">
        <v>9</v>
      </c>
      <c r="R145" s="14">
        <v>8</v>
      </c>
      <c r="S145" s="14" t="s">
        <v>65</v>
      </c>
    </row>
    <row r="146" spans="1:19" x14ac:dyDescent="0.3">
      <c r="A146" s="10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</row>
    <row r="147" spans="1:19" x14ac:dyDescent="0.3">
      <c r="A147" s="10" t="s">
        <v>807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</row>
    <row r="148" spans="1:19" x14ac:dyDescent="0.3">
      <c r="A148" s="10" t="s">
        <v>808</v>
      </c>
      <c r="B148" s="10" t="s">
        <v>809</v>
      </c>
      <c r="C148" s="14">
        <v>4</v>
      </c>
      <c r="D148" s="14">
        <v>4</v>
      </c>
      <c r="E148" s="14">
        <v>5</v>
      </c>
      <c r="F148" s="14">
        <v>6</v>
      </c>
      <c r="G148" s="14">
        <v>6</v>
      </c>
      <c r="H148" s="14">
        <v>7</v>
      </c>
      <c r="I148" s="14">
        <v>7</v>
      </c>
      <c r="J148" s="14">
        <v>7</v>
      </c>
      <c r="K148" s="14">
        <v>8</v>
      </c>
      <c r="L148" s="14">
        <v>6</v>
      </c>
      <c r="M148" s="14">
        <v>7</v>
      </c>
      <c r="N148" s="14">
        <v>7</v>
      </c>
      <c r="O148" s="14">
        <v>7</v>
      </c>
      <c r="P148" s="14">
        <v>8</v>
      </c>
      <c r="Q148" s="14">
        <v>9</v>
      </c>
      <c r="R148" s="14">
        <v>8</v>
      </c>
      <c r="S148" s="14" t="s">
        <v>65</v>
      </c>
    </row>
    <row r="149" spans="1:19" x14ac:dyDescent="0.3">
      <c r="A149" s="10" t="s">
        <v>810</v>
      </c>
      <c r="B149" s="10" t="s">
        <v>811</v>
      </c>
      <c r="C149" s="14">
        <v>4</v>
      </c>
      <c r="D149" s="14">
        <v>4</v>
      </c>
      <c r="E149" s="14">
        <v>5</v>
      </c>
      <c r="F149" s="14">
        <v>6</v>
      </c>
      <c r="G149" s="14">
        <v>6</v>
      </c>
      <c r="H149" s="14">
        <v>7</v>
      </c>
      <c r="I149" s="14">
        <v>7</v>
      </c>
      <c r="J149" s="14">
        <v>7</v>
      </c>
      <c r="K149" s="14">
        <v>8</v>
      </c>
      <c r="L149" s="14">
        <v>6</v>
      </c>
      <c r="M149" s="14">
        <v>7</v>
      </c>
      <c r="N149" s="14">
        <v>7</v>
      </c>
      <c r="O149" s="14">
        <v>7</v>
      </c>
      <c r="P149" s="14">
        <v>8</v>
      </c>
      <c r="Q149" s="14">
        <v>9</v>
      </c>
      <c r="R149" s="14">
        <v>8</v>
      </c>
      <c r="S149" s="14" t="s">
        <v>65</v>
      </c>
    </row>
    <row r="150" spans="1:19" x14ac:dyDescent="0.3">
      <c r="A150" s="10" t="s">
        <v>812</v>
      </c>
      <c r="B150" s="10" t="s">
        <v>813</v>
      </c>
      <c r="C150" s="14">
        <v>5</v>
      </c>
      <c r="D150" s="14">
        <v>5</v>
      </c>
      <c r="E150" s="14">
        <v>4</v>
      </c>
      <c r="F150" s="14">
        <v>4</v>
      </c>
      <c r="G150" s="14">
        <v>4</v>
      </c>
      <c r="H150" s="14">
        <v>5</v>
      </c>
      <c r="I150" s="14">
        <v>4</v>
      </c>
      <c r="J150" s="14">
        <v>4</v>
      </c>
      <c r="K150" s="14">
        <v>4</v>
      </c>
      <c r="L150" s="14">
        <v>4</v>
      </c>
      <c r="M150" s="14">
        <v>4</v>
      </c>
      <c r="N150" s="14">
        <v>4</v>
      </c>
      <c r="O150" s="14">
        <v>3</v>
      </c>
      <c r="P150" s="14">
        <v>5</v>
      </c>
      <c r="Q150" s="14">
        <v>5</v>
      </c>
      <c r="R150" s="14">
        <v>5</v>
      </c>
      <c r="S150" s="14" t="s">
        <v>65</v>
      </c>
    </row>
    <row r="151" spans="1:19" x14ac:dyDescent="0.3">
      <c r="A151" s="10" t="s">
        <v>814</v>
      </c>
      <c r="B151" s="10" t="s">
        <v>815</v>
      </c>
      <c r="C151" s="14">
        <v>90</v>
      </c>
      <c r="D151" s="14">
        <v>85</v>
      </c>
      <c r="E151" s="14">
        <v>93.45</v>
      </c>
      <c r="F151" s="14">
        <v>95.45</v>
      </c>
      <c r="G151" s="14">
        <v>100</v>
      </c>
      <c r="H151" s="14">
        <v>100</v>
      </c>
      <c r="I151" s="14">
        <v>100</v>
      </c>
      <c r="J151" s="14">
        <v>96.42</v>
      </c>
      <c r="K151" s="14">
        <v>100</v>
      </c>
      <c r="L151" s="14">
        <v>93.1</v>
      </c>
      <c r="M151" s="14">
        <v>100</v>
      </c>
      <c r="N151" s="14">
        <v>100</v>
      </c>
      <c r="O151" s="14">
        <v>100</v>
      </c>
      <c r="P151" s="14">
        <v>100</v>
      </c>
      <c r="Q151" s="14">
        <v>100</v>
      </c>
      <c r="R151" s="14">
        <v>100</v>
      </c>
      <c r="S151" s="14" t="s">
        <v>65</v>
      </c>
    </row>
    <row r="152" spans="1:19" x14ac:dyDescent="0.3">
      <c r="A152" s="10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</row>
    <row r="153" spans="1:19" x14ac:dyDescent="0.3">
      <c r="A153" s="10" t="s">
        <v>816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</row>
    <row r="154" spans="1:19" x14ac:dyDescent="0.3">
      <c r="A154" s="10" t="s">
        <v>817</v>
      </c>
      <c r="B154" s="10" t="s">
        <v>818</v>
      </c>
      <c r="C154" s="12" t="s">
        <v>78</v>
      </c>
      <c r="D154" s="12" t="s">
        <v>78</v>
      </c>
      <c r="E154" s="12" t="s">
        <v>78</v>
      </c>
      <c r="F154" s="12" t="s">
        <v>78</v>
      </c>
      <c r="G154" s="12" t="s">
        <v>78</v>
      </c>
      <c r="H154" s="12" t="s">
        <v>78</v>
      </c>
      <c r="I154" s="12" t="s">
        <v>78</v>
      </c>
      <c r="J154" s="12" t="s">
        <v>78</v>
      </c>
      <c r="K154" s="12" t="s">
        <v>79</v>
      </c>
      <c r="L154" s="12" t="s">
        <v>78</v>
      </c>
      <c r="M154" s="12" t="s">
        <v>78</v>
      </c>
      <c r="N154" s="12" t="s">
        <v>79</v>
      </c>
      <c r="O154" s="12" t="s">
        <v>79</v>
      </c>
      <c r="P154" s="12" t="s">
        <v>79</v>
      </c>
      <c r="Q154" s="12" t="s">
        <v>79</v>
      </c>
      <c r="R154" s="12" t="s">
        <v>79</v>
      </c>
      <c r="S154" s="12" t="s">
        <v>622</v>
      </c>
    </row>
    <row r="155" spans="1:19" x14ac:dyDescent="0.3">
      <c r="A155" s="10" t="s">
        <v>819</v>
      </c>
      <c r="B155" s="10" t="s">
        <v>820</v>
      </c>
      <c r="C155" s="12" t="s">
        <v>78</v>
      </c>
      <c r="D155" s="12" t="s">
        <v>78</v>
      </c>
      <c r="E155" s="12" t="s">
        <v>78</v>
      </c>
      <c r="F155" s="12" t="s">
        <v>78</v>
      </c>
      <c r="G155" s="12" t="s">
        <v>78</v>
      </c>
      <c r="H155" s="12" t="s">
        <v>78</v>
      </c>
      <c r="I155" s="12" t="s">
        <v>78</v>
      </c>
      <c r="J155" s="12" t="s">
        <v>78</v>
      </c>
      <c r="K155" s="12" t="s">
        <v>78</v>
      </c>
      <c r="L155" s="12" t="s">
        <v>78</v>
      </c>
      <c r="M155" s="12" t="s">
        <v>78</v>
      </c>
      <c r="N155" s="12" t="s">
        <v>78</v>
      </c>
      <c r="O155" s="12" t="s">
        <v>78</v>
      </c>
      <c r="P155" s="12" t="s">
        <v>78</v>
      </c>
      <c r="Q155" s="12" t="s">
        <v>78</v>
      </c>
      <c r="R155" s="12" t="s">
        <v>78</v>
      </c>
      <c r="S155" s="12" t="s">
        <v>622</v>
      </c>
    </row>
    <row r="156" spans="1:19" x14ac:dyDescent="0.3">
      <c r="A156" s="10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</row>
    <row r="157" spans="1:19" x14ac:dyDescent="0.3">
      <c r="A157" s="10" t="s">
        <v>821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</row>
    <row r="158" spans="1:19" x14ac:dyDescent="0.3">
      <c r="A158" s="10" t="s">
        <v>822</v>
      </c>
      <c r="B158" s="10" t="s">
        <v>823</v>
      </c>
      <c r="C158" s="14">
        <v>1</v>
      </c>
      <c r="D158" s="14">
        <v>1</v>
      </c>
      <c r="E158" s="14">
        <v>1</v>
      </c>
      <c r="F158" s="14">
        <v>1</v>
      </c>
      <c r="G158" s="14">
        <v>1</v>
      </c>
      <c r="H158" s="14">
        <v>1</v>
      </c>
      <c r="I158" s="14">
        <v>1</v>
      </c>
      <c r="J158" s="14">
        <v>1</v>
      </c>
      <c r="K158" s="14">
        <v>1</v>
      </c>
      <c r="L158" s="14">
        <v>1</v>
      </c>
      <c r="M158" s="14">
        <v>1</v>
      </c>
      <c r="N158" s="14">
        <v>1</v>
      </c>
      <c r="O158" s="14">
        <v>1</v>
      </c>
      <c r="P158" s="14">
        <v>1</v>
      </c>
      <c r="Q158" s="14">
        <v>1</v>
      </c>
      <c r="R158" s="14">
        <v>1</v>
      </c>
      <c r="S158" s="14" t="s">
        <v>65</v>
      </c>
    </row>
    <row r="159" spans="1:19" x14ac:dyDescent="0.3">
      <c r="A159" s="10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</row>
    <row r="160" spans="1:19" x14ac:dyDescent="0.3">
      <c r="A160" s="7" t="s">
        <v>90</v>
      </c>
      <c r="B160" s="7"/>
      <c r="C160" s="7" t="s">
        <v>91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48"/>
  <sheetViews>
    <sheetView workbookViewId="0">
      <selection activeCell="Q29" sqref="Q28:Q29"/>
    </sheetView>
  </sheetViews>
  <sheetFormatPr defaultRowHeight="14.4" x14ac:dyDescent="0.3"/>
  <cols>
    <col min="1" max="1" width="35.109375" customWidth="1"/>
    <col min="2" max="2" width="0" hidden="1" customWidth="1"/>
    <col min="3" max="19" width="11.88671875" customWidth="1"/>
  </cols>
  <sheetData>
    <row r="1" spans="1:1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" x14ac:dyDescent="0.3">
      <c r="A2" s="8" t="s">
        <v>824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3" t="s">
        <v>1</v>
      </c>
      <c r="B4" s="3"/>
      <c r="C4" s="4" t="s">
        <v>258</v>
      </c>
      <c r="D4" s="4" t="s">
        <v>259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</row>
    <row r="5" spans="1:19" x14ac:dyDescent="0.3">
      <c r="A5" s="9" t="s">
        <v>20</v>
      </c>
      <c r="B5" s="9"/>
      <c r="C5" s="5" t="s">
        <v>261</v>
      </c>
      <c r="D5" s="5" t="s">
        <v>262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31</v>
      </c>
      <c r="P5" s="5" t="s">
        <v>32</v>
      </c>
      <c r="Q5" s="5" t="s">
        <v>33</v>
      </c>
      <c r="R5" s="5" t="s">
        <v>34</v>
      </c>
      <c r="S5" s="5" t="s">
        <v>35</v>
      </c>
    </row>
    <row r="6" spans="1:19" x14ac:dyDescent="0.3">
      <c r="A6" s="10" t="s">
        <v>589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x14ac:dyDescent="0.3">
      <c r="A7" s="10" t="s">
        <v>592</v>
      </c>
      <c r="B7" s="10" t="s">
        <v>593</v>
      </c>
      <c r="C7" s="14" t="s">
        <v>65</v>
      </c>
      <c r="D7" s="14" t="s">
        <v>65</v>
      </c>
      <c r="E7" s="14" t="s">
        <v>65</v>
      </c>
      <c r="F7" s="14" t="s">
        <v>65</v>
      </c>
      <c r="G7" s="14" t="s">
        <v>65</v>
      </c>
      <c r="H7" s="14" t="s">
        <v>65</v>
      </c>
      <c r="I7" s="14" t="s">
        <v>65</v>
      </c>
      <c r="J7" s="14">
        <v>2.4300000000000002</v>
      </c>
      <c r="K7" s="14">
        <v>2.73</v>
      </c>
      <c r="L7" s="14">
        <v>2.92</v>
      </c>
      <c r="M7" s="14">
        <v>2.79</v>
      </c>
      <c r="N7" s="14">
        <v>3.37</v>
      </c>
      <c r="O7" s="14">
        <v>4.3499999999999996</v>
      </c>
      <c r="P7" s="14">
        <v>4.75</v>
      </c>
      <c r="Q7" s="14">
        <v>5.0599999999999996</v>
      </c>
      <c r="R7" s="14" t="s">
        <v>65</v>
      </c>
      <c r="S7" s="14" t="s">
        <v>65</v>
      </c>
    </row>
    <row r="8" spans="1:19" x14ac:dyDescent="0.3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 x14ac:dyDescent="0.3">
      <c r="A9" s="10" t="s">
        <v>598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3">
      <c r="A10" s="10" t="s">
        <v>601</v>
      </c>
      <c r="B10" s="10" t="s">
        <v>602</v>
      </c>
      <c r="C10" s="14">
        <v>0</v>
      </c>
      <c r="D10" s="14">
        <v>0.48320000000000002</v>
      </c>
      <c r="E10" s="14">
        <v>0.8155</v>
      </c>
      <c r="F10" s="14">
        <v>2.0840000000000001</v>
      </c>
      <c r="G10" s="14">
        <v>3.8054999999999999</v>
      </c>
      <c r="H10" s="14">
        <v>34.007899999999999</v>
      </c>
      <c r="I10" s="14">
        <v>40.591999999999999</v>
      </c>
      <c r="J10" s="14">
        <v>40.259700000000002</v>
      </c>
      <c r="K10" s="14">
        <v>43.702800000000003</v>
      </c>
      <c r="L10" s="14">
        <v>43.400799999999997</v>
      </c>
      <c r="M10" s="14">
        <v>43.400799999999997</v>
      </c>
      <c r="N10" s="14">
        <v>54.877699999999997</v>
      </c>
      <c r="O10" s="14">
        <v>70.462100000000007</v>
      </c>
      <c r="P10" s="14">
        <v>64.028999999999996</v>
      </c>
      <c r="Q10" s="14">
        <v>63.787399999999998</v>
      </c>
      <c r="R10" s="14" t="s">
        <v>65</v>
      </c>
      <c r="S10" s="14" t="s">
        <v>65</v>
      </c>
    </row>
    <row r="11" spans="1:19" x14ac:dyDescent="0.3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x14ac:dyDescent="0.3">
      <c r="A12" s="10" t="s">
        <v>825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3">
      <c r="A13" s="10" t="s">
        <v>826</v>
      </c>
      <c r="B13" s="10" t="s">
        <v>827</v>
      </c>
      <c r="C13" s="14" t="s">
        <v>65</v>
      </c>
      <c r="D13" s="14" t="s">
        <v>65</v>
      </c>
      <c r="E13" s="14" t="s">
        <v>65</v>
      </c>
      <c r="F13" s="14" t="s">
        <v>65</v>
      </c>
      <c r="G13" s="14" t="s">
        <v>65</v>
      </c>
      <c r="H13" s="14" t="s">
        <v>65</v>
      </c>
      <c r="I13" s="14" t="s">
        <v>65</v>
      </c>
      <c r="J13" s="14">
        <v>100</v>
      </c>
      <c r="K13" s="14">
        <v>97.6</v>
      </c>
      <c r="L13" s="14">
        <v>97.6</v>
      </c>
      <c r="M13" s="14">
        <v>96.7</v>
      </c>
      <c r="N13" s="14">
        <v>99</v>
      </c>
      <c r="O13" s="14">
        <v>99</v>
      </c>
      <c r="P13" s="14">
        <v>97</v>
      </c>
      <c r="Q13" s="14">
        <v>96</v>
      </c>
      <c r="R13" s="14">
        <v>99</v>
      </c>
      <c r="S13" s="14" t="s">
        <v>65</v>
      </c>
    </row>
    <row r="14" spans="1:19" x14ac:dyDescent="0.3">
      <c r="A14" s="10" t="s">
        <v>639</v>
      </c>
      <c r="B14" s="10" t="s">
        <v>640</v>
      </c>
      <c r="C14" s="14" t="s">
        <v>65</v>
      </c>
      <c r="D14" s="14" t="s">
        <v>65</v>
      </c>
      <c r="E14" s="14" t="s">
        <v>65</v>
      </c>
      <c r="F14" s="14" t="s">
        <v>65</v>
      </c>
      <c r="G14" s="14" t="s">
        <v>65</v>
      </c>
      <c r="H14" s="14" t="s">
        <v>65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 t="s">
        <v>65</v>
      </c>
    </row>
    <row r="15" spans="1:19" x14ac:dyDescent="0.3">
      <c r="A15" s="10" t="s">
        <v>828</v>
      </c>
      <c r="B15" s="10" t="s">
        <v>829</v>
      </c>
      <c r="C15" s="12" t="s">
        <v>622</v>
      </c>
      <c r="D15" s="12" t="s">
        <v>622</v>
      </c>
      <c r="E15" s="12" t="s">
        <v>622</v>
      </c>
      <c r="F15" s="12" t="s">
        <v>622</v>
      </c>
      <c r="G15" s="12" t="s">
        <v>622</v>
      </c>
      <c r="H15" s="12" t="s">
        <v>622</v>
      </c>
      <c r="I15" s="12" t="s">
        <v>79</v>
      </c>
      <c r="J15" s="12" t="s">
        <v>79</v>
      </c>
      <c r="K15" s="12" t="s">
        <v>79</v>
      </c>
      <c r="L15" s="12" t="s">
        <v>79</v>
      </c>
      <c r="M15" s="12" t="s">
        <v>79</v>
      </c>
      <c r="N15" s="12" t="s">
        <v>79</v>
      </c>
      <c r="O15" s="12" t="s">
        <v>79</v>
      </c>
      <c r="P15" s="12" t="s">
        <v>79</v>
      </c>
      <c r="Q15" s="12" t="s">
        <v>79</v>
      </c>
      <c r="R15" s="12" t="s">
        <v>79</v>
      </c>
      <c r="S15" s="12" t="s">
        <v>622</v>
      </c>
    </row>
    <row r="16" spans="1:19" x14ac:dyDescent="0.3">
      <c r="A16" s="10" t="s">
        <v>817</v>
      </c>
      <c r="B16" s="10" t="s">
        <v>818</v>
      </c>
      <c r="C16" s="12" t="s">
        <v>78</v>
      </c>
      <c r="D16" s="12" t="s">
        <v>78</v>
      </c>
      <c r="E16" s="12" t="s">
        <v>78</v>
      </c>
      <c r="F16" s="12" t="s">
        <v>78</v>
      </c>
      <c r="G16" s="12" t="s">
        <v>78</v>
      </c>
      <c r="H16" s="12" t="s">
        <v>78</v>
      </c>
      <c r="I16" s="12" t="s">
        <v>78</v>
      </c>
      <c r="J16" s="12" t="s">
        <v>78</v>
      </c>
      <c r="K16" s="12" t="s">
        <v>79</v>
      </c>
      <c r="L16" s="12" t="s">
        <v>78</v>
      </c>
      <c r="M16" s="12" t="s">
        <v>78</v>
      </c>
      <c r="N16" s="12" t="s">
        <v>79</v>
      </c>
      <c r="O16" s="12" t="s">
        <v>79</v>
      </c>
      <c r="P16" s="12" t="s">
        <v>79</v>
      </c>
      <c r="Q16" s="12" t="s">
        <v>79</v>
      </c>
      <c r="R16" s="12" t="s">
        <v>79</v>
      </c>
      <c r="S16" s="12" t="s">
        <v>622</v>
      </c>
    </row>
    <row r="17" spans="1:19" x14ac:dyDescent="0.3">
      <c r="A17" s="10" t="s">
        <v>830</v>
      </c>
      <c r="B17" s="10" t="s">
        <v>831</v>
      </c>
      <c r="C17" s="12" t="s">
        <v>78</v>
      </c>
      <c r="D17" s="12" t="s">
        <v>78</v>
      </c>
      <c r="E17" s="12" t="s">
        <v>78</v>
      </c>
      <c r="F17" s="12" t="s">
        <v>78</v>
      </c>
      <c r="G17" s="12" t="s">
        <v>78</v>
      </c>
      <c r="H17" s="12" t="s">
        <v>79</v>
      </c>
      <c r="I17" s="12" t="s">
        <v>79</v>
      </c>
      <c r="J17" s="12" t="s">
        <v>79</v>
      </c>
      <c r="K17" s="12" t="s">
        <v>79</v>
      </c>
      <c r="L17" s="12" t="s">
        <v>79</v>
      </c>
      <c r="M17" s="12" t="s">
        <v>79</v>
      </c>
      <c r="N17" s="12" t="s">
        <v>79</v>
      </c>
      <c r="O17" s="12" t="s">
        <v>79</v>
      </c>
      <c r="P17" s="12" t="s">
        <v>79</v>
      </c>
      <c r="Q17" s="12" t="s">
        <v>79</v>
      </c>
      <c r="R17" s="12" t="s">
        <v>79</v>
      </c>
      <c r="S17" s="12" t="s">
        <v>622</v>
      </c>
    </row>
    <row r="18" spans="1:19" x14ac:dyDescent="0.3">
      <c r="A18" s="10" t="s">
        <v>832</v>
      </c>
      <c r="B18" s="10" t="s">
        <v>833</v>
      </c>
      <c r="C18" s="12" t="s">
        <v>78</v>
      </c>
      <c r="D18" s="12" t="s">
        <v>78</v>
      </c>
      <c r="E18" s="12" t="s">
        <v>78</v>
      </c>
      <c r="F18" s="12" t="s">
        <v>78</v>
      </c>
      <c r="G18" s="12" t="s">
        <v>78</v>
      </c>
      <c r="H18" s="12" t="s">
        <v>78</v>
      </c>
      <c r="I18" s="12" t="s">
        <v>78</v>
      </c>
      <c r="J18" s="12" t="s">
        <v>78</v>
      </c>
      <c r="K18" s="12" t="s">
        <v>78</v>
      </c>
      <c r="L18" s="12" t="s">
        <v>78</v>
      </c>
      <c r="M18" s="12" t="s">
        <v>78</v>
      </c>
      <c r="N18" s="12" t="s">
        <v>78</v>
      </c>
      <c r="O18" s="12" t="s">
        <v>78</v>
      </c>
      <c r="P18" s="12" t="s">
        <v>78</v>
      </c>
      <c r="Q18" s="12" t="s">
        <v>79</v>
      </c>
      <c r="R18" s="12" t="s">
        <v>79</v>
      </c>
      <c r="S18" s="12" t="s">
        <v>622</v>
      </c>
    </row>
    <row r="19" spans="1:19" x14ac:dyDescent="0.3">
      <c r="A19" s="10" t="s">
        <v>834</v>
      </c>
      <c r="B19" s="10" t="s">
        <v>835</v>
      </c>
      <c r="C19" s="12" t="s">
        <v>622</v>
      </c>
      <c r="D19" s="12" t="s">
        <v>622</v>
      </c>
      <c r="E19" s="12" t="s">
        <v>622</v>
      </c>
      <c r="F19" s="12" t="s">
        <v>622</v>
      </c>
      <c r="G19" s="12" t="s">
        <v>622</v>
      </c>
      <c r="H19" s="12" t="s">
        <v>622</v>
      </c>
      <c r="I19" s="12" t="s">
        <v>622</v>
      </c>
      <c r="J19" s="12" t="s">
        <v>78</v>
      </c>
      <c r="K19" s="12" t="s">
        <v>78</v>
      </c>
      <c r="L19" s="12" t="s">
        <v>78</v>
      </c>
      <c r="M19" s="12" t="s">
        <v>78</v>
      </c>
      <c r="N19" s="12" t="s">
        <v>78</v>
      </c>
      <c r="O19" s="12" t="s">
        <v>79</v>
      </c>
      <c r="P19" s="12" t="s">
        <v>79</v>
      </c>
      <c r="Q19" s="12" t="s">
        <v>79</v>
      </c>
      <c r="R19" s="12" t="s">
        <v>79</v>
      </c>
      <c r="S19" s="12" t="s">
        <v>622</v>
      </c>
    </row>
    <row r="20" spans="1:19" x14ac:dyDescent="0.3">
      <c r="A20" s="10" t="s">
        <v>836</v>
      </c>
      <c r="B20" s="10" t="s">
        <v>837</v>
      </c>
      <c r="C20" s="12" t="s">
        <v>622</v>
      </c>
      <c r="D20" s="12" t="s">
        <v>622</v>
      </c>
      <c r="E20" s="12" t="s">
        <v>622</v>
      </c>
      <c r="F20" s="12" t="s">
        <v>622</v>
      </c>
      <c r="G20" s="12" t="s">
        <v>622</v>
      </c>
      <c r="H20" s="12" t="s">
        <v>622</v>
      </c>
      <c r="I20" s="12" t="s">
        <v>622</v>
      </c>
      <c r="J20" s="12" t="s">
        <v>622</v>
      </c>
      <c r="K20" s="12" t="s">
        <v>622</v>
      </c>
      <c r="L20" s="12" t="s">
        <v>622</v>
      </c>
      <c r="M20" s="12" t="s">
        <v>622</v>
      </c>
      <c r="N20" s="12" t="s">
        <v>78</v>
      </c>
      <c r="O20" s="12" t="s">
        <v>79</v>
      </c>
      <c r="P20" s="12" t="s">
        <v>79</v>
      </c>
      <c r="Q20" s="12" t="s">
        <v>79</v>
      </c>
      <c r="R20" s="12" t="s">
        <v>79</v>
      </c>
      <c r="S20" s="12" t="s">
        <v>622</v>
      </c>
    </row>
    <row r="21" spans="1:19" x14ac:dyDescent="0.3">
      <c r="A21" s="10" t="s">
        <v>684</v>
      </c>
      <c r="B21" s="10" t="s">
        <v>685</v>
      </c>
      <c r="C21" s="12" t="s">
        <v>622</v>
      </c>
      <c r="D21" s="12" t="s">
        <v>622</v>
      </c>
      <c r="E21" s="12" t="s">
        <v>622</v>
      </c>
      <c r="F21" s="12" t="s">
        <v>622</v>
      </c>
      <c r="G21" s="12" t="s">
        <v>622</v>
      </c>
      <c r="H21" s="12" t="s">
        <v>622</v>
      </c>
      <c r="I21" s="12" t="s">
        <v>622</v>
      </c>
      <c r="J21" s="12" t="s">
        <v>622</v>
      </c>
      <c r="K21" s="12" t="s">
        <v>622</v>
      </c>
      <c r="L21" s="12" t="s">
        <v>622</v>
      </c>
      <c r="M21" s="12" t="s">
        <v>622</v>
      </c>
      <c r="N21" s="12" t="s">
        <v>622</v>
      </c>
      <c r="O21" s="12" t="s">
        <v>622</v>
      </c>
      <c r="P21" s="12" t="s">
        <v>78</v>
      </c>
      <c r="Q21" s="12" t="s">
        <v>78</v>
      </c>
      <c r="R21" s="12" t="s">
        <v>78</v>
      </c>
      <c r="S21" s="12" t="s">
        <v>622</v>
      </c>
    </row>
    <row r="22" spans="1:19" x14ac:dyDescent="0.3">
      <c r="A22" s="10" t="s">
        <v>620</v>
      </c>
      <c r="B22" s="10" t="s">
        <v>621</v>
      </c>
      <c r="C22" s="12" t="s">
        <v>622</v>
      </c>
      <c r="D22" s="12" t="s">
        <v>622</v>
      </c>
      <c r="E22" s="12" t="s">
        <v>622</v>
      </c>
      <c r="F22" s="12" t="s">
        <v>622</v>
      </c>
      <c r="G22" s="12" t="s">
        <v>622</v>
      </c>
      <c r="H22" s="12" t="s">
        <v>622</v>
      </c>
      <c r="I22" s="12" t="s">
        <v>622</v>
      </c>
      <c r="J22" s="12" t="s">
        <v>622</v>
      </c>
      <c r="K22" s="12" t="s">
        <v>622</v>
      </c>
      <c r="L22" s="12" t="s">
        <v>622</v>
      </c>
      <c r="M22" s="12" t="s">
        <v>622</v>
      </c>
      <c r="N22" s="12" t="s">
        <v>622</v>
      </c>
      <c r="O22" s="12" t="s">
        <v>622</v>
      </c>
      <c r="P22" s="12" t="s">
        <v>622</v>
      </c>
      <c r="Q22" s="12" t="s">
        <v>78</v>
      </c>
      <c r="R22" s="12" t="s">
        <v>78</v>
      </c>
      <c r="S22" s="12" t="s">
        <v>622</v>
      </c>
    </row>
    <row r="23" spans="1:19" x14ac:dyDescent="0.3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x14ac:dyDescent="0.3">
      <c r="A24" s="10" t="s">
        <v>838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19" x14ac:dyDescent="0.3">
      <c r="A25" s="6" t="s">
        <v>839</v>
      </c>
      <c r="B25" s="6" t="s">
        <v>840</v>
      </c>
      <c r="C25" s="19" t="s">
        <v>65</v>
      </c>
      <c r="D25" s="19" t="s">
        <v>65</v>
      </c>
      <c r="E25" s="19" t="s">
        <v>65</v>
      </c>
      <c r="F25" s="19" t="s">
        <v>65</v>
      </c>
      <c r="G25" s="19" t="s">
        <v>65</v>
      </c>
      <c r="H25" s="19">
        <v>194.55500000000001</v>
      </c>
      <c r="I25" s="19">
        <v>190.43700000000001</v>
      </c>
      <c r="J25" s="19">
        <v>183.07300000000001</v>
      </c>
      <c r="K25" s="19">
        <v>195.733</v>
      </c>
      <c r="L25" s="19">
        <v>188.86600000000001</v>
      </c>
      <c r="M25" s="19">
        <v>183.37200000000001</v>
      </c>
      <c r="N25" s="19">
        <v>169.29300000000001</v>
      </c>
      <c r="O25" s="19">
        <v>149.68700000000001</v>
      </c>
      <c r="P25" s="19">
        <v>139.197</v>
      </c>
      <c r="Q25" s="19">
        <v>145.33099999999999</v>
      </c>
      <c r="R25" s="19">
        <v>145.10300000000001</v>
      </c>
      <c r="S25" s="19" t="s">
        <v>65</v>
      </c>
    </row>
    <row r="26" spans="1:19" x14ac:dyDescent="0.3">
      <c r="A26" s="10" t="s">
        <v>841</v>
      </c>
      <c r="B26" s="10" t="s">
        <v>842</v>
      </c>
      <c r="C26" s="13" t="s">
        <v>65</v>
      </c>
      <c r="D26" s="13" t="s">
        <v>65</v>
      </c>
      <c r="E26" s="13" t="s">
        <v>65</v>
      </c>
      <c r="F26" s="13" t="s">
        <v>65</v>
      </c>
      <c r="G26" s="13" t="s">
        <v>65</v>
      </c>
      <c r="H26" s="13" t="s">
        <v>65</v>
      </c>
      <c r="I26" s="13" t="s">
        <v>65</v>
      </c>
      <c r="J26" s="13" t="s">
        <v>65</v>
      </c>
      <c r="K26" s="13" t="s">
        <v>65</v>
      </c>
      <c r="L26" s="13">
        <v>191.08</v>
      </c>
      <c r="M26" s="13">
        <v>184.024</v>
      </c>
      <c r="N26" s="13">
        <v>78.456000000000003</v>
      </c>
      <c r="O26" s="13">
        <v>61.612000000000002</v>
      </c>
      <c r="P26" s="13">
        <v>67.465999999999994</v>
      </c>
      <c r="Q26" s="13">
        <v>35.664999999999999</v>
      </c>
      <c r="R26" s="13">
        <v>23.986999999999998</v>
      </c>
      <c r="S26" s="13" t="s">
        <v>65</v>
      </c>
    </row>
    <row r="27" spans="1:19" x14ac:dyDescent="0.3">
      <c r="A27" s="10" t="s">
        <v>631</v>
      </c>
      <c r="B27" s="10" t="s">
        <v>632</v>
      </c>
      <c r="C27" s="13" t="s">
        <v>65</v>
      </c>
      <c r="D27" s="13" t="s">
        <v>65</v>
      </c>
      <c r="E27" s="13" t="s">
        <v>65</v>
      </c>
      <c r="F27" s="13" t="s">
        <v>65</v>
      </c>
      <c r="G27" s="13" t="s">
        <v>65</v>
      </c>
      <c r="H27" s="13">
        <v>8.9700000000000006</v>
      </c>
      <c r="I27" s="13">
        <v>7.5119999999999996</v>
      </c>
      <c r="J27" s="13">
        <v>8.3309999999999995</v>
      </c>
      <c r="K27" s="13">
        <v>7.9969999999999999</v>
      </c>
      <c r="L27" s="13">
        <v>8.3209999999999997</v>
      </c>
      <c r="M27" s="13">
        <v>8.8670000000000009</v>
      </c>
      <c r="N27" s="13">
        <v>6.0839999999999996</v>
      </c>
      <c r="O27" s="13">
        <v>8.9250000000000007</v>
      </c>
      <c r="P27" s="13">
        <v>13.57</v>
      </c>
      <c r="Q27" s="13">
        <v>9.86</v>
      </c>
      <c r="R27" s="13">
        <v>3.7589999999999999</v>
      </c>
      <c r="S27" s="13" t="s">
        <v>65</v>
      </c>
    </row>
    <row r="28" spans="1:19" x14ac:dyDescent="0.3">
      <c r="A28" s="10" t="s">
        <v>633</v>
      </c>
      <c r="B28" s="10" t="s">
        <v>634</v>
      </c>
      <c r="C28" s="13" t="s">
        <v>65</v>
      </c>
      <c r="D28" s="13" t="s">
        <v>65</v>
      </c>
      <c r="E28" s="13" t="s">
        <v>65</v>
      </c>
      <c r="F28" s="13" t="s">
        <v>65</v>
      </c>
      <c r="G28" s="13" t="s">
        <v>65</v>
      </c>
      <c r="H28" s="13">
        <v>185.58500000000001</v>
      </c>
      <c r="I28" s="13">
        <v>182.92500000000001</v>
      </c>
      <c r="J28" s="13">
        <v>174.74199999999999</v>
      </c>
      <c r="K28" s="13">
        <v>187.73599999999999</v>
      </c>
      <c r="L28" s="13">
        <v>180.54499999999999</v>
      </c>
      <c r="M28" s="13">
        <v>174.505</v>
      </c>
      <c r="N28" s="13">
        <v>163.209</v>
      </c>
      <c r="O28" s="13">
        <v>140.762</v>
      </c>
      <c r="P28" s="13">
        <v>125.627</v>
      </c>
      <c r="Q28" s="13">
        <v>135.471</v>
      </c>
      <c r="R28" s="13">
        <v>141.34399999999999</v>
      </c>
      <c r="S28" s="13" t="s">
        <v>65</v>
      </c>
    </row>
    <row r="29" spans="1:19" x14ac:dyDescent="0.3">
      <c r="A29" s="10" t="s">
        <v>635</v>
      </c>
      <c r="B29" s="10" t="s">
        <v>636</v>
      </c>
      <c r="C29" s="13" t="s">
        <v>65</v>
      </c>
      <c r="D29" s="13" t="s">
        <v>65</v>
      </c>
      <c r="E29" s="13" t="s">
        <v>65</v>
      </c>
      <c r="F29" s="13" t="s">
        <v>65</v>
      </c>
      <c r="G29" s="13" t="s">
        <v>65</v>
      </c>
      <c r="H29" s="13" t="s">
        <v>65</v>
      </c>
      <c r="I29" s="13" t="s">
        <v>65</v>
      </c>
      <c r="J29" s="13" t="s">
        <v>65</v>
      </c>
      <c r="K29" s="13" t="s">
        <v>65</v>
      </c>
      <c r="L29" s="13">
        <v>182.75899999999999</v>
      </c>
      <c r="M29" s="13">
        <v>175.15700000000001</v>
      </c>
      <c r="N29" s="13">
        <v>72.372</v>
      </c>
      <c r="O29" s="13">
        <v>52.686999999999998</v>
      </c>
      <c r="P29" s="13">
        <v>53.896000000000001</v>
      </c>
      <c r="Q29" s="13">
        <v>25.805</v>
      </c>
      <c r="R29" s="13">
        <v>20.228000000000002</v>
      </c>
      <c r="S29" s="13" t="s">
        <v>65</v>
      </c>
    </row>
    <row r="30" spans="1:19" x14ac:dyDescent="0.3">
      <c r="A30" s="10" t="s">
        <v>637</v>
      </c>
      <c r="B30" s="10" t="s">
        <v>638</v>
      </c>
      <c r="C30" s="13" t="s">
        <v>65</v>
      </c>
      <c r="D30" s="13" t="s">
        <v>65</v>
      </c>
      <c r="E30" s="13" t="s">
        <v>65</v>
      </c>
      <c r="F30" s="13" t="s">
        <v>65</v>
      </c>
      <c r="G30" s="13" t="s">
        <v>65</v>
      </c>
      <c r="H30" s="13">
        <v>4.9589999999999996</v>
      </c>
      <c r="I30" s="13">
        <v>3.55</v>
      </c>
      <c r="J30" s="13">
        <v>5.9320000000000004</v>
      </c>
      <c r="K30" s="13">
        <v>81.668000000000006</v>
      </c>
      <c r="L30" s="13">
        <v>61.052999999999997</v>
      </c>
      <c r="M30" s="13">
        <v>474.82799999999997</v>
      </c>
      <c r="N30" s="13">
        <v>1513.62</v>
      </c>
      <c r="O30" s="13">
        <v>663.274</v>
      </c>
      <c r="P30" s="13">
        <v>589.25199999999995</v>
      </c>
      <c r="Q30" s="13">
        <v>752.096</v>
      </c>
      <c r="R30" s="13">
        <v>1149.8</v>
      </c>
      <c r="S30" s="13" t="s">
        <v>65</v>
      </c>
    </row>
    <row r="31" spans="1:19" x14ac:dyDescent="0.3">
      <c r="A31" s="10" t="s">
        <v>843</v>
      </c>
      <c r="B31" s="10" t="s">
        <v>844</v>
      </c>
      <c r="C31" s="13" t="s">
        <v>65</v>
      </c>
      <c r="D31" s="13" t="s">
        <v>65</v>
      </c>
      <c r="E31" s="13" t="s">
        <v>65</v>
      </c>
      <c r="F31" s="13" t="s">
        <v>65</v>
      </c>
      <c r="G31" s="13" t="s">
        <v>65</v>
      </c>
      <c r="H31" s="13" t="s">
        <v>65</v>
      </c>
      <c r="I31" s="13" t="s">
        <v>65</v>
      </c>
      <c r="J31" s="13" t="s">
        <v>65</v>
      </c>
      <c r="K31" s="13" t="s">
        <v>65</v>
      </c>
      <c r="L31" s="13" t="s">
        <v>65</v>
      </c>
      <c r="M31" s="13">
        <v>50.314999999999998</v>
      </c>
      <c r="N31" s="13">
        <v>43.954999999999998</v>
      </c>
      <c r="O31" s="13">
        <v>28.78</v>
      </c>
      <c r="P31" s="13">
        <v>84.113</v>
      </c>
      <c r="Q31" s="13">
        <v>25.431000000000001</v>
      </c>
      <c r="R31" s="13">
        <v>29.167000000000002</v>
      </c>
      <c r="S31" s="13" t="s">
        <v>65</v>
      </c>
    </row>
    <row r="32" spans="1:19" x14ac:dyDescent="0.3">
      <c r="A32" s="10" t="s">
        <v>845</v>
      </c>
      <c r="B32" s="10" t="s">
        <v>846</v>
      </c>
      <c r="C32" s="13" t="s">
        <v>65</v>
      </c>
      <c r="D32" s="13" t="s">
        <v>65</v>
      </c>
      <c r="E32" s="13" t="s">
        <v>65</v>
      </c>
      <c r="F32" s="13" t="s">
        <v>65</v>
      </c>
      <c r="G32" s="13" t="s">
        <v>65</v>
      </c>
      <c r="H32" s="13" t="s">
        <v>65</v>
      </c>
      <c r="I32" s="13" t="s">
        <v>65</v>
      </c>
      <c r="J32" s="13" t="s">
        <v>65</v>
      </c>
      <c r="K32" s="13" t="s">
        <v>65</v>
      </c>
      <c r="L32" s="13" t="s">
        <v>65</v>
      </c>
      <c r="M32" s="13">
        <v>33.808</v>
      </c>
      <c r="N32" s="13">
        <v>26.95</v>
      </c>
      <c r="O32" s="13">
        <v>37.938000000000002</v>
      </c>
      <c r="P32" s="13">
        <v>36.027999999999999</v>
      </c>
      <c r="Q32" s="13">
        <v>38.542000000000002</v>
      </c>
      <c r="R32" s="13">
        <v>10.441000000000001</v>
      </c>
      <c r="S32" s="13" t="s">
        <v>65</v>
      </c>
    </row>
    <row r="33" spans="1:19" x14ac:dyDescent="0.3">
      <c r="A33" s="10" t="s">
        <v>847</v>
      </c>
      <c r="B33" s="10" t="s">
        <v>848</v>
      </c>
      <c r="C33" s="13" t="s">
        <v>65</v>
      </c>
      <c r="D33" s="13" t="s">
        <v>65</v>
      </c>
      <c r="E33" s="13" t="s">
        <v>65</v>
      </c>
      <c r="F33" s="13" t="s">
        <v>65</v>
      </c>
      <c r="G33" s="13" t="s">
        <v>65</v>
      </c>
      <c r="H33" s="13" t="s">
        <v>65</v>
      </c>
      <c r="I33" s="13" t="s">
        <v>65</v>
      </c>
      <c r="J33" s="13" t="s">
        <v>65</v>
      </c>
      <c r="K33" s="13" t="s">
        <v>65</v>
      </c>
      <c r="L33" s="13">
        <v>55.939</v>
      </c>
      <c r="M33" s="13">
        <v>75</v>
      </c>
      <c r="N33" s="13">
        <v>71.168000000000006</v>
      </c>
      <c r="O33" s="13">
        <v>57.262999999999998</v>
      </c>
      <c r="P33" s="13">
        <v>72.090999999999994</v>
      </c>
      <c r="Q33" s="13">
        <v>82.480999999999995</v>
      </c>
      <c r="R33" s="13">
        <v>54.921999999999997</v>
      </c>
      <c r="S33" s="13" t="s">
        <v>65</v>
      </c>
    </row>
    <row r="34" spans="1:19" x14ac:dyDescent="0.3">
      <c r="A34" s="10" t="s">
        <v>849</v>
      </c>
      <c r="B34" s="10" t="s">
        <v>850</v>
      </c>
      <c r="C34" s="13" t="s">
        <v>65</v>
      </c>
      <c r="D34" s="13" t="s">
        <v>65</v>
      </c>
      <c r="E34" s="13" t="s">
        <v>65</v>
      </c>
      <c r="F34" s="13" t="s">
        <v>65</v>
      </c>
      <c r="G34" s="13" t="s">
        <v>65</v>
      </c>
      <c r="H34" s="13" t="s">
        <v>65</v>
      </c>
      <c r="I34" s="13" t="s">
        <v>65</v>
      </c>
      <c r="J34" s="13" t="s">
        <v>65</v>
      </c>
      <c r="K34" s="13" t="s">
        <v>65</v>
      </c>
      <c r="L34" s="13">
        <v>9.8000000000000004E-2</v>
      </c>
      <c r="M34" s="13">
        <v>0.1</v>
      </c>
      <c r="N34" s="13">
        <v>0.112</v>
      </c>
      <c r="O34" s="13">
        <v>0.38038</v>
      </c>
      <c r="P34" s="13">
        <v>0.80600000000000005</v>
      </c>
      <c r="Q34" s="13">
        <v>0.63900000000000001</v>
      </c>
      <c r="R34" s="13">
        <v>0.99399999999999999</v>
      </c>
      <c r="S34" s="13" t="s">
        <v>65</v>
      </c>
    </row>
    <row r="35" spans="1:19" x14ac:dyDescent="0.3">
      <c r="A35" s="10" t="s">
        <v>851</v>
      </c>
      <c r="B35" s="10" t="s">
        <v>852</v>
      </c>
      <c r="C35" s="13" t="s">
        <v>65</v>
      </c>
      <c r="D35" s="13" t="s">
        <v>65</v>
      </c>
      <c r="E35" s="13" t="s">
        <v>65</v>
      </c>
      <c r="F35" s="13" t="s">
        <v>65</v>
      </c>
      <c r="G35" s="13" t="s">
        <v>65</v>
      </c>
      <c r="H35" s="13" t="s">
        <v>65</v>
      </c>
      <c r="I35" s="13" t="s">
        <v>65</v>
      </c>
      <c r="J35" s="13" t="s">
        <v>65</v>
      </c>
      <c r="K35" s="13" t="s">
        <v>65</v>
      </c>
      <c r="L35" s="13" t="s">
        <v>65</v>
      </c>
      <c r="M35" s="13">
        <v>34.869999999999997</v>
      </c>
      <c r="N35" s="13">
        <v>33.215000000000003</v>
      </c>
      <c r="O35" s="13">
        <v>17.885999999999999</v>
      </c>
      <c r="P35" s="13">
        <v>22.140999999999998</v>
      </c>
      <c r="Q35" s="13">
        <v>28.167000000000002</v>
      </c>
      <c r="R35" s="13">
        <v>25.689</v>
      </c>
      <c r="S35" s="13" t="s">
        <v>65</v>
      </c>
    </row>
    <row r="36" spans="1:19" x14ac:dyDescent="0.3">
      <c r="A36" s="10" t="s">
        <v>853</v>
      </c>
      <c r="B36" s="10" t="s">
        <v>854</v>
      </c>
      <c r="C36" s="13" t="s">
        <v>65</v>
      </c>
      <c r="D36" s="13" t="s">
        <v>65</v>
      </c>
      <c r="E36" s="13" t="s">
        <v>65</v>
      </c>
      <c r="F36" s="13" t="s">
        <v>65</v>
      </c>
      <c r="G36" s="13" t="s">
        <v>65</v>
      </c>
      <c r="H36" s="13" t="s">
        <v>65</v>
      </c>
      <c r="I36" s="13" t="s">
        <v>65</v>
      </c>
      <c r="J36" s="13" t="s">
        <v>65</v>
      </c>
      <c r="K36" s="13" t="s">
        <v>65</v>
      </c>
      <c r="L36" s="13">
        <v>5.016</v>
      </c>
      <c r="M36" s="13">
        <v>5.0839999999999996</v>
      </c>
      <c r="N36" s="13">
        <v>4.9569999999999999</v>
      </c>
      <c r="O36" s="13">
        <v>0.54500000000000004</v>
      </c>
      <c r="P36" s="13">
        <v>0.61799999999999999</v>
      </c>
      <c r="Q36" s="13">
        <v>4.7370000000000001</v>
      </c>
      <c r="R36" s="13">
        <v>9.9009999999999998</v>
      </c>
      <c r="S36" s="13" t="s">
        <v>65</v>
      </c>
    </row>
    <row r="37" spans="1:19" x14ac:dyDescent="0.3">
      <c r="A37" s="10" t="s">
        <v>855</v>
      </c>
      <c r="B37" s="10" t="s">
        <v>856</v>
      </c>
      <c r="C37" s="13" t="s">
        <v>65</v>
      </c>
      <c r="D37" s="13" t="s">
        <v>65</v>
      </c>
      <c r="E37" s="13" t="s">
        <v>65</v>
      </c>
      <c r="F37" s="13" t="s">
        <v>65</v>
      </c>
      <c r="G37" s="13" t="s">
        <v>65</v>
      </c>
      <c r="H37" s="13" t="s">
        <v>65</v>
      </c>
      <c r="I37" s="13" t="s">
        <v>65</v>
      </c>
      <c r="J37" s="13" t="s">
        <v>65</v>
      </c>
      <c r="K37" s="13" t="s">
        <v>65</v>
      </c>
      <c r="L37" s="13" t="s">
        <v>65</v>
      </c>
      <c r="M37" s="13">
        <v>27.466999999999999</v>
      </c>
      <c r="N37" s="13">
        <v>39.078000000000003</v>
      </c>
      <c r="O37" s="13">
        <v>28.481000000000002</v>
      </c>
      <c r="P37" s="13">
        <v>43.737000000000002</v>
      </c>
      <c r="Q37" s="13">
        <v>57.95</v>
      </c>
      <c r="R37" s="13">
        <v>40.475000000000001</v>
      </c>
      <c r="S37" s="13" t="s">
        <v>65</v>
      </c>
    </row>
    <row r="38" spans="1:19" x14ac:dyDescent="0.3">
      <c r="A38" s="10" t="s">
        <v>857</v>
      </c>
      <c r="B38" s="10" t="s">
        <v>858</v>
      </c>
      <c r="C38" s="13" t="s">
        <v>65</v>
      </c>
      <c r="D38" s="13" t="s">
        <v>65</v>
      </c>
      <c r="E38" s="13" t="s">
        <v>65</v>
      </c>
      <c r="F38" s="13" t="s">
        <v>65</v>
      </c>
      <c r="G38" s="13" t="s">
        <v>65</v>
      </c>
      <c r="H38" s="13" t="s">
        <v>65</v>
      </c>
      <c r="I38" s="13" t="s">
        <v>65</v>
      </c>
      <c r="J38" s="13" t="s">
        <v>65</v>
      </c>
      <c r="K38" s="13" t="s">
        <v>65</v>
      </c>
      <c r="L38" s="13" t="s">
        <v>65</v>
      </c>
      <c r="M38" s="13">
        <v>29.393000000000001</v>
      </c>
      <c r="N38" s="13">
        <v>28.582999999999998</v>
      </c>
      <c r="O38" s="13">
        <v>24.32</v>
      </c>
      <c r="P38" s="13">
        <v>19.562999999999999</v>
      </c>
      <c r="Q38" s="13">
        <v>15.64</v>
      </c>
      <c r="R38" s="13">
        <v>23.913</v>
      </c>
      <c r="S38" s="13" t="s">
        <v>65</v>
      </c>
    </row>
    <row r="39" spans="1:19" x14ac:dyDescent="0.3">
      <c r="A39" s="10" t="s">
        <v>859</v>
      </c>
      <c r="B39" s="10" t="s">
        <v>860</v>
      </c>
      <c r="C39" s="13" t="s">
        <v>65</v>
      </c>
      <c r="D39" s="13" t="s">
        <v>65</v>
      </c>
      <c r="E39" s="13" t="s">
        <v>65</v>
      </c>
      <c r="F39" s="13" t="s">
        <v>65</v>
      </c>
      <c r="G39" s="13" t="s">
        <v>65</v>
      </c>
      <c r="H39" s="13" t="s">
        <v>65</v>
      </c>
      <c r="I39" s="13" t="s">
        <v>65</v>
      </c>
      <c r="J39" s="13" t="s">
        <v>65</v>
      </c>
      <c r="K39" s="13" t="s">
        <v>65</v>
      </c>
      <c r="L39" s="13" t="s">
        <v>65</v>
      </c>
      <c r="M39" s="13">
        <v>29.003</v>
      </c>
      <c r="N39" s="13">
        <v>1096</v>
      </c>
      <c r="O39" s="13">
        <v>4.3849999999999998</v>
      </c>
      <c r="P39" s="13">
        <v>136.386</v>
      </c>
      <c r="Q39" s="13">
        <v>257.09100000000001</v>
      </c>
      <c r="R39" s="13">
        <v>170.20699999999999</v>
      </c>
      <c r="S39" s="13" t="s">
        <v>65</v>
      </c>
    </row>
    <row r="40" spans="1:19" x14ac:dyDescent="0.3">
      <c r="A40" s="10" t="s">
        <v>861</v>
      </c>
      <c r="B40" s="10" t="s">
        <v>862</v>
      </c>
      <c r="C40" s="13" t="s">
        <v>65</v>
      </c>
      <c r="D40" s="13" t="s">
        <v>65</v>
      </c>
      <c r="E40" s="13" t="s">
        <v>65</v>
      </c>
      <c r="F40" s="13" t="s">
        <v>65</v>
      </c>
      <c r="G40" s="13" t="s">
        <v>65</v>
      </c>
      <c r="H40" s="13" t="s">
        <v>65</v>
      </c>
      <c r="I40" s="13" t="s">
        <v>65</v>
      </c>
      <c r="J40" s="13" t="s">
        <v>65</v>
      </c>
      <c r="K40" s="13" t="s">
        <v>65</v>
      </c>
      <c r="L40" s="13" t="s">
        <v>65</v>
      </c>
      <c r="M40" s="13" t="s">
        <v>65</v>
      </c>
      <c r="N40" s="13" t="s">
        <v>65</v>
      </c>
      <c r="O40" s="13" t="s">
        <v>65</v>
      </c>
      <c r="P40" s="13">
        <v>0.19</v>
      </c>
      <c r="Q40" s="13">
        <v>0.28799999999999998</v>
      </c>
      <c r="R40" s="13">
        <v>0.22</v>
      </c>
      <c r="S40" s="13" t="s">
        <v>65</v>
      </c>
    </row>
    <row r="41" spans="1:19" x14ac:dyDescent="0.3">
      <c r="A41" s="10" t="s">
        <v>863</v>
      </c>
      <c r="B41" s="10" t="s">
        <v>864</v>
      </c>
      <c r="C41" s="13" t="s">
        <v>65</v>
      </c>
      <c r="D41" s="13" t="s">
        <v>65</v>
      </c>
      <c r="E41" s="13" t="s">
        <v>65</v>
      </c>
      <c r="F41" s="13" t="s">
        <v>65</v>
      </c>
      <c r="G41" s="13" t="s">
        <v>65</v>
      </c>
      <c r="H41" s="13" t="s">
        <v>65</v>
      </c>
      <c r="I41" s="13" t="s">
        <v>65</v>
      </c>
      <c r="J41" s="13" t="s">
        <v>65</v>
      </c>
      <c r="K41" s="13" t="s">
        <v>65</v>
      </c>
      <c r="L41" s="13" t="s">
        <v>65</v>
      </c>
      <c r="M41" s="13">
        <v>189.78799000000001</v>
      </c>
      <c r="N41" s="13">
        <v>169.60201000000001</v>
      </c>
      <c r="O41" s="13">
        <v>463.29599000000002</v>
      </c>
      <c r="P41" s="13">
        <v>173.57899</v>
      </c>
      <c r="Q41" s="13">
        <v>241.13</v>
      </c>
      <c r="R41" s="13">
        <v>783.87</v>
      </c>
      <c r="S41" s="13" t="s">
        <v>65</v>
      </c>
    </row>
    <row r="42" spans="1:19" x14ac:dyDescent="0.3">
      <c r="A42" s="10" t="s">
        <v>865</v>
      </c>
      <c r="B42" s="10" t="s">
        <v>866</v>
      </c>
      <c r="C42" s="13" t="s">
        <v>65</v>
      </c>
      <c r="D42" s="13" t="s">
        <v>65</v>
      </c>
      <c r="E42" s="13" t="s">
        <v>65</v>
      </c>
      <c r="F42" s="13" t="s">
        <v>65</v>
      </c>
      <c r="G42" s="13" t="s">
        <v>65</v>
      </c>
      <c r="H42" s="13">
        <v>4.9589999999999996</v>
      </c>
      <c r="I42" s="13">
        <v>3.55</v>
      </c>
      <c r="J42" s="13" t="s">
        <v>65</v>
      </c>
      <c r="K42" s="13" t="s">
        <v>65</v>
      </c>
      <c r="L42" s="13" t="s">
        <v>65</v>
      </c>
      <c r="M42" s="13" t="s">
        <v>65</v>
      </c>
      <c r="N42" s="13" t="s">
        <v>65</v>
      </c>
      <c r="O42" s="13" t="s">
        <v>65</v>
      </c>
      <c r="P42" s="13" t="s">
        <v>65</v>
      </c>
      <c r="Q42" s="13" t="s">
        <v>65</v>
      </c>
      <c r="R42" s="13" t="s">
        <v>65</v>
      </c>
      <c r="S42" s="13" t="s">
        <v>65</v>
      </c>
    </row>
    <row r="43" spans="1:19" x14ac:dyDescent="0.3">
      <c r="A43" s="10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1:19" x14ac:dyDescent="0.3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1:19" x14ac:dyDescent="0.3">
      <c r="A45" s="10" t="s">
        <v>867</v>
      </c>
      <c r="B45" s="10" t="s">
        <v>630</v>
      </c>
      <c r="C45" s="13" t="s">
        <v>65</v>
      </c>
      <c r="D45" s="13" t="s">
        <v>65</v>
      </c>
      <c r="E45" s="13" t="s">
        <v>65</v>
      </c>
      <c r="F45" s="13" t="s">
        <v>65</v>
      </c>
      <c r="G45" s="13" t="s">
        <v>65</v>
      </c>
      <c r="H45" s="13" t="s">
        <v>65</v>
      </c>
      <c r="I45" s="13" t="s">
        <v>65</v>
      </c>
      <c r="J45" s="13" t="s">
        <v>65</v>
      </c>
      <c r="K45" s="13" t="s">
        <v>65</v>
      </c>
      <c r="L45" s="13" t="s">
        <v>65</v>
      </c>
      <c r="M45" s="13" t="s">
        <v>65</v>
      </c>
      <c r="N45" s="13" t="s">
        <v>65</v>
      </c>
      <c r="O45" s="13" t="s">
        <v>65</v>
      </c>
      <c r="P45" s="13" t="s">
        <v>65</v>
      </c>
      <c r="Q45" s="13">
        <v>9.8369999999999997</v>
      </c>
      <c r="R45" s="13">
        <v>3.7480000000000002</v>
      </c>
      <c r="S45" s="13" t="s">
        <v>65</v>
      </c>
    </row>
    <row r="46" spans="1:19" x14ac:dyDescent="0.3">
      <c r="A46" s="10" t="s">
        <v>868</v>
      </c>
      <c r="B46" s="10" t="s">
        <v>869</v>
      </c>
      <c r="C46" s="13" t="s">
        <v>65</v>
      </c>
      <c r="D46" s="13" t="s">
        <v>65</v>
      </c>
      <c r="E46" s="13" t="s">
        <v>65</v>
      </c>
      <c r="F46" s="13" t="s">
        <v>65</v>
      </c>
      <c r="G46" s="13" t="s">
        <v>65</v>
      </c>
      <c r="H46" s="13" t="s">
        <v>65</v>
      </c>
      <c r="I46" s="13" t="s">
        <v>65</v>
      </c>
      <c r="J46" s="13" t="s">
        <v>65</v>
      </c>
      <c r="K46" s="13" t="s">
        <v>65</v>
      </c>
      <c r="L46" s="13" t="s">
        <v>65</v>
      </c>
      <c r="M46" s="13" t="s">
        <v>65</v>
      </c>
      <c r="N46" s="13">
        <v>72.358999999999995</v>
      </c>
      <c r="O46" s="13">
        <v>52.686999999999998</v>
      </c>
      <c r="P46" s="13">
        <v>53.896000000000001</v>
      </c>
      <c r="Q46" s="13" t="s">
        <v>65</v>
      </c>
      <c r="R46" s="13" t="s">
        <v>65</v>
      </c>
      <c r="S46" s="13" t="s">
        <v>65</v>
      </c>
    </row>
    <row r="47" spans="1:19" x14ac:dyDescent="0.3">
      <c r="A47" s="6" t="s">
        <v>870</v>
      </c>
      <c r="B47" s="6" t="s">
        <v>871</v>
      </c>
      <c r="C47" s="19" t="s">
        <v>65</v>
      </c>
      <c r="D47" s="19" t="s">
        <v>65</v>
      </c>
      <c r="E47" s="19" t="s">
        <v>65</v>
      </c>
      <c r="F47" s="19" t="s">
        <v>65</v>
      </c>
      <c r="G47" s="19" t="s">
        <v>65</v>
      </c>
      <c r="H47" s="19" t="s">
        <v>65</v>
      </c>
      <c r="I47" s="19" t="s">
        <v>65</v>
      </c>
      <c r="J47" s="19" t="s">
        <v>65</v>
      </c>
      <c r="K47" s="19" t="s">
        <v>65</v>
      </c>
      <c r="L47" s="19" t="s">
        <v>65</v>
      </c>
      <c r="M47" s="19" t="s">
        <v>65</v>
      </c>
      <c r="N47" s="19">
        <v>168.167</v>
      </c>
      <c r="O47" s="19">
        <v>139.93100000000001</v>
      </c>
      <c r="P47" s="19" t="s">
        <v>65</v>
      </c>
      <c r="Q47" s="19" t="s">
        <v>65</v>
      </c>
      <c r="R47" s="19" t="s">
        <v>65</v>
      </c>
      <c r="S47" s="19" t="s">
        <v>65</v>
      </c>
    </row>
    <row r="48" spans="1:19" x14ac:dyDescent="0.3">
      <c r="A48" s="10" t="s">
        <v>872</v>
      </c>
      <c r="B48" s="10" t="s">
        <v>873</v>
      </c>
      <c r="C48" s="13" t="s">
        <v>65</v>
      </c>
      <c r="D48" s="13" t="s">
        <v>65</v>
      </c>
      <c r="E48" s="13" t="s">
        <v>65</v>
      </c>
      <c r="F48" s="13" t="s">
        <v>65</v>
      </c>
      <c r="G48" s="13" t="s">
        <v>65</v>
      </c>
      <c r="H48" s="13" t="s">
        <v>65</v>
      </c>
      <c r="I48" s="13" t="s">
        <v>65</v>
      </c>
      <c r="J48" s="13">
        <v>183.07300000000001</v>
      </c>
      <c r="K48" s="13">
        <v>195.733</v>
      </c>
      <c r="L48" s="13" t="s">
        <v>65</v>
      </c>
      <c r="M48" s="13" t="s">
        <v>65</v>
      </c>
      <c r="N48" s="13">
        <v>78.247</v>
      </c>
      <c r="O48" s="13" t="s">
        <v>65</v>
      </c>
      <c r="P48" s="13" t="s">
        <v>65</v>
      </c>
      <c r="Q48" s="13" t="s">
        <v>65</v>
      </c>
      <c r="R48" s="13" t="s">
        <v>65</v>
      </c>
      <c r="S48" s="13" t="s">
        <v>65</v>
      </c>
    </row>
    <row r="49" spans="1:19" x14ac:dyDescent="0.3">
      <c r="A49" s="10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</row>
    <row r="50" spans="1:19" x14ac:dyDescent="0.3">
      <c r="A50" s="10" t="s">
        <v>874</v>
      </c>
      <c r="B50" s="10" t="s">
        <v>875</v>
      </c>
      <c r="C50" s="13" t="s">
        <v>65</v>
      </c>
      <c r="D50" s="13" t="s">
        <v>65</v>
      </c>
      <c r="E50" s="13" t="s">
        <v>65</v>
      </c>
      <c r="F50" s="13" t="s">
        <v>65</v>
      </c>
      <c r="G50" s="13" t="s">
        <v>65</v>
      </c>
      <c r="H50" s="13" t="s">
        <v>65</v>
      </c>
      <c r="I50" s="13" t="s">
        <v>65</v>
      </c>
      <c r="J50" s="13" t="s">
        <v>65</v>
      </c>
      <c r="K50" s="13" t="s">
        <v>65</v>
      </c>
      <c r="L50" s="13" t="s">
        <v>65</v>
      </c>
      <c r="M50" s="13" t="s">
        <v>65</v>
      </c>
      <c r="N50" s="13">
        <v>8.9999999999999993E-3</v>
      </c>
      <c r="O50" s="13">
        <v>7.0000000000000001E-3</v>
      </c>
      <c r="P50" s="13">
        <v>2.1000000000000001E-2</v>
      </c>
      <c r="Q50" s="13">
        <v>0</v>
      </c>
      <c r="R50" s="13">
        <v>0</v>
      </c>
      <c r="S50" s="13" t="s">
        <v>65</v>
      </c>
    </row>
    <row r="51" spans="1:19" x14ac:dyDescent="0.3">
      <c r="A51" s="10" t="s">
        <v>876</v>
      </c>
      <c r="B51" s="10" t="s">
        <v>877</v>
      </c>
      <c r="C51" s="13" t="s">
        <v>65</v>
      </c>
      <c r="D51" s="13" t="s">
        <v>65</v>
      </c>
      <c r="E51" s="13" t="s">
        <v>65</v>
      </c>
      <c r="F51" s="13" t="s">
        <v>65</v>
      </c>
      <c r="G51" s="13" t="s">
        <v>65</v>
      </c>
      <c r="H51" s="13" t="s">
        <v>65</v>
      </c>
      <c r="I51" s="13" t="s">
        <v>65</v>
      </c>
      <c r="J51" s="13" t="s">
        <v>65</v>
      </c>
      <c r="K51" s="13" t="s">
        <v>65</v>
      </c>
      <c r="L51" s="13" t="s">
        <v>65</v>
      </c>
      <c r="M51" s="13" t="s">
        <v>65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 t="s">
        <v>65</v>
      </c>
    </row>
    <row r="52" spans="1:19" x14ac:dyDescent="0.3">
      <c r="A52" s="1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spans="1:19" x14ac:dyDescent="0.3">
      <c r="A53" s="10" t="s">
        <v>878</v>
      </c>
      <c r="B53" s="10" t="s">
        <v>879</v>
      </c>
      <c r="C53" s="13" t="s">
        <v>65</v>
      </c>
      <c r="D53" s="13" t="s">
        <v>65</v>
      </c>
      <c r="E53" s="13" t="s">
        <v>65</v>
      </c>
      <c r="F53" s="13" t="s">
        <v>65</v>
      </c>
      <c r="G53" s="13" t="s">
        <v>65</v>
      </c>
      <c r="H53" s="13" t="s">
        <v>65</v>
      </c>
      <c r="I53" s="13" t="s">
        <v>65</v>
      </c>
      <c r="J53" s="13" t="s">
        <v>65</v>
      </c>
      <c r="K53" s="13" t="s">
        <v>65</v>
      </c>
      <c r="L53" s="13" t="s">
        <v>65</v>
      </c>
      <c r="M53" s="13" t="s">
        <v>65</v>
      </c>
      <c r="N53" s="13">
        <v>0.251</v>
      </c>
      <c r="O53" s="13">
        <v>0.2</v>
      </c>
      <c r="P53" s="13">
        <v>0.57799999999999996</v>
      </c>
      <c r="Q53" s="13">
        <v>1.2999999999999999E-2</v>
      </c>
      <c r="R53" s="13">
        <v>6.0000000000000001E-3</v>
      </c>
      <c r="S53" s="13" t="s">
        <v>65</v>
      </c>
    </row>
    <row r="54" spans="1:19" x14ac:dyDescent="0.3">
      <c r="A54" s="10" t="s">
        <v>880</v>
      </c>
      <c r="B54" s="10" t="s">
        <v>881</v>
      </c>
      <c r="C54" s="13" t="s">
        <v>65</v>
      </c>
      <c r="D54" s="13" t="s">
        <v>65</v>
      </c>
      <c r="E54" s="13" t="s">
        <v>65</v>
      </c>
      <c r="F54" s="13" t="s">
        <v>65</v>
      </c>
      <c r="G54" s="13" t="s">
        <v>65</v>
      </c>
      <c r="H54" s="13" t="s">
        <v>65</v>
      </c>
      <c r="I54" s="13" t="s">
        <v>65</v>
      </c>
      <c r="J54" s="13" t="s">
        <v>65</v>
      </c>
      <c r="K54" s="13" t="s">
        <v>65</v>
      </c>
      <c r="L54" s="13" t="s">
        <v>65</v>
      </c>
      <c r="M54" s="13" t="s">
        <v>65</v>
      </c>
      <c r="N54" s="13">
        <v>1.2E-2</v>
      </c>
      <c r="O54" s="13">
        <v>1.2E-2</v>
      </c>
      <c r="P54" s="13">
        <v>1.7999999999999999E-2</v>
      </c>
      <c r="Q54" s="13">
        <v>0.01</v>
      </c>
      <c r="R54" s="13">
        <v>5.0000000000000001E-3</v>
      </c>
      <c r="S54" s="13" t="s">
        <v>65</v>
      </c>
    </row>
    <row r="55" spans="1:19" x14ac:dyDescent="0.3">
      <c r="A55" s="10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</row>
    <row r="56" spans="1:19" x14ac:dyDescent="0.3">
      <c r="A56" s="10" t="s">
        <v>882</v>
      </c>
      <c r="B56" s="10" t="s">
        <v>610</v>
      </c>
      <c r="C56" s="13" t="s">
        <v>65</v>
      </c>
      <c r="D56" s="13" t="s">
        <v>65</v>
      </c>
      <c r="E56" s="13" t="s">
        <v>65</v>
      </c>
      <c r="F56" s="13" t="s">
        <v>65</v>
      </c>
      <c r="G56" s="13" t="s">
        <v>65</v>
      </c>
      <c r="H56" s="13" t="s">
        <v>65</v>
      </c>
      <c r="I56" s="13" t="s">
        <v>65</v>
      </c>
      <c r="J56" s="13" t="s">
        <v>65</v>
      </c>
      <c r="K56" s="13" t="s">
        <v>65</v>
      </c>
      <c r="L56" s="13" t="s">
        <v>65</v>
      </c>
      <c r="M56" s="13" t="s">
        <v>65</v>
      </c>
      <c r="N56" s="13">
        <v>3.0000000000000001E-3</v>
      </c>
      <c r="O56" s="13">
        <v>2E-3</v>
      </c>
      <c r="P56" s="13">
        <v>1E-3</v>
      </c>
      <c r="Q56" s="13">
        <v>8.0000000000000002E-3</v>
      </c>
      <c r="R56" s="13">
        <v>2.7E-2</v>
      </c>
      <c r="S56" s="13" t="s">
        <v>65</v>
      </c>
    </row>
    <row r="57" spans="1:19" x14ac:dyDescent="0.3">
      <c r="A57" s="10" t="s">
        <v>883</v>
      </c>
      <c r="B57" s="10" t="s">
        <v>884</v>
      </c>
      <c r="C57" s="13" t="s">
        <v>65</v>
      </c>
      <c r="D57" s="13" t="s">
        <v>65</v>
      </c>
      <c r="E57" s="13" t="s">
        <v>65</v>
      </c>
      <c r="F57" s="13" t="s">
        <v>65</v>
      </c>
      <c r="G57" s="13" t="s">
        <v>65</v>
      </c>
      <c r="H57" s="13" t="s">
        <v>65</v>
      </c>
      <c r="I57" s="13" t="s">
        <v>65</v>
      </c>
      <c r="J57" s="13" t="s">
        <v>65</v>
      </c>
      <c r="K57" s="13" t="s">
        <v>65</v>
      </c>
      <c r="L57" s="13" t="s">
        <v>65</v>
      </c>
      <c r="M57" s="13" t="s">
        <v>65</v>
      </c>
      <c r="N57" s="13">
        <v>0</v>
      </c>
      <c r="O57" s="13">
        <v>0</v>
      </c>
      <c r="P57" s="13">
        <v>0</v>
      </c>
      <c r="Q57" s="13">
        <v>0</v>
      </c>
      <c r="R57" s="13">
        <v>2.1000000000000001E-2</v>
      </c>
      <c r="S57" s="13" t="s">
        <v>65</v>
      </c>
    </row>
    <row r="58" spans="1:19" x14ac:dyDescent="0.3">
      <c r="A58" s="10" t="s">
        <v>611</v>
      </c>
      <c r="B58" s="10" t="s">
        <v>612</v>
      </c>
      <c r="C58" s="13" t="s">
        <v>65</v>
      </c>
      <c r="D58" s="13" t="s">
        <v>65</v>
      </c>
      <c r="E58" s="13" t="s">
        <v>65</v>
      </c>
      <c r="F58" s="13" t="s">
        <v>65</v>
      </c>
      <c r="G58" s="13" t="s">
        <v>65</v>
      </c>
      <c r="H58" s="13" t="s">
        <v>65</v>
      </c>
      <c r="I58" s="13" t="s">
        <v>65</v>
      </c>
      <c r="J58" s="13" t="s">
        <v>65</v>
      </c>
      <c r="K58" s="13" t="s">
        <v>65</v>
      </c>
      <c r="L58" s="13" t="s">
        <v>65</v>
      </c>
      <c r="M58" s="13" t="s">
        <v>65</v>
      </c>
      <c r="N58" s="13">
        <v>1.6E-2</v>
      </c>
      <c r="O58" s="13">
        <v>4.0000000000000001E-3</v>
      </c>
      <c r="P58" s="13">
        <v>5.0000000000000001E-3</v>
      </c>
      <c r="Q58" s="13">
        <v>4.0000000000000001E-3</v>
      </c>
      <c r="R58" s="13">
        <v>4.0000000000000001E-3</v>
      </c>
      <c r="S58" s="13" t="s">
        <v>65</v>
      </c>
    </row>
    <row r="59" spans="1:19" x14ac:dyDescent="0.3">
      <c r="A59" s="10" t="s">
        <v>613</v>
      </c>
      <c r="B59" s="10" t="s">
        <v>614</v>
      </c>
      <c r="C59" s="13" t="s">
        <v>65</v>
      </c>
      <c r="D59" s="13" t="s">
        <v>65</v>
      </c>
      <c r="E59" s="13" t="s">
        <v>65</v>
      </c>
      <c r="F59" s="13" t="s">
        <v>65</v>
      </c>
      <c r="G59" s="13" t="s">
        <v>65</v>
      </c>
      <c r="H59" s="13" t="s">
        <v>65</v>
      </c>
      <c r="I59" s="13" t="s">
        <v>65</v>
      </c>
      <c r="J59" s="13" t="s">
        <v>65</v>
      </c>
      <c r="K59" s="13" t="s">
        <v>65</v>
      </c>
      <c r="L59" s="13" t="s">
        <v>65</v>
      </c>
      <c r="M59" s="13" t="s">
        <v>65</v>
      </c>
      <c r="N59" s="13">
        <v>1E-3</v>
      </c>
      <c r="O59" s="13">
        <v>2E-3</v>
      </c>
      <c r="P59" s="13">
        <v>0</v>
      </c>
      <c r="Q59" s="13">
        <v>0</v>
      </c>
      <c r="R59" s="13">
        <v>0</v>
      </c>
      <c r="S59" s="13" t="s">
        <v>65</v>
      </c>
    </row>
    <row r="60" spans="1:19" x14ac:dyDescent="0.3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</row>
    <row r="61" spans="1:19" x14ac:dyDescent="0.3">
      <c r="A61" s="10" t="s">
        <v>641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1:19" x14ac:dyDescent="0.3">
      <c r="A62" s="6" t="s">
        <v>644</v>
      </c>
      <c r="B62" s="6" t="s">
        <v>645</v>
      </c>
      <c r="C62" s="19" t="s">
        <v>65</v>
      </c>
      <c r="D62" s="19" t="s">
        <v>65</v>
      </c>
      <c r="E62" s="19" t="s">
        <v>65</v>
      </c>
      <c r="F62" s="19" t="s">
        <v>65</v>
      </c>
      <c r="G62" s="19">
        <v>398.20100000000002</v>
      </c>
      <c r="H62" s="19">
        <v>379.11799999999999</v>
      </c>
      <c r="I62" s="19">
        <v>367.31400000000002</v>
      </c>
      <c r="J62" s="19">
        <v>375.55</v>
      </c>
      <c r="K62" s="19">
        <v>391.07799999999997</v>
      </c>
      <c r="L62" s="19">
        <v>391.91300000000001</v>
      </c>
      <c r="M62" s="19">
        <v>409.27699999999999</v>
      </c>
      <c r="N62" s="19">
        <v>368.49900000000002</v>
      </c>
      <c r="O62" s="19">
        <v>334.22399999999999</v>
      </c>
      <c r="P62" s="19">
        <v>357.99</v>
      </c>
      <c r="Q62" s="19">
        <v>338.24400000000003</v>
      </c>
      <c r="R62" s="19">
        <v>329.596</v>
      </c>
      <c r="S62" s="19" t="s">
        <v>65</v>
      </c>
    </row>
    <row r="63" spans="1:19" x14ac:dyDescent="0.3">
      <c r="A63" s="10" t="s">
        <v>648</v>
      </c>
      <c r="B63" s="10" t="s">
        <v>649</v>
      </c>
      <c r="C63" s="13" t="s">
        <v>65</v>
      </c>
      <c r="D63" s="13" t="s">
        <v>65</v>
      </c>
      <c r="E63" s="13" t="s">
        <v>65</v>
      </c>
      <c r="F63" s="13" t="s">
        <v>65</v>
      </c>
      <c r="G63" s="13" t="s">
        <v>65</v>
      </c>
      <c r="H63" s="13" t="s">
        <v>65</v>
      </c>
      <c r="I63" s="13">
        <v>334.26100000000002</v>
      </c>
      <c r="J63" s="13">
        <v>335.23099999999999</v>
      </c>
      <c r="K63" s="13">
        <v>351.62599999999998</v>
      </c>
      <c r="L63" s="13">
        <v>346.48899999999998</v>
      </c>
      <c r="M63" s="13">
        <v>357.45400000000001</v>
      </c>
      <c r="N63" s="13">
        <v>319.93400000000003</v>
      </c>
      <c r="O63" s="13">
        <v>257.52999999999997</v>
      </c>
      <c r="P63" s="13">
        <v>258.435</v>
      </c>
      <c r="Q63" s="13">
        <v>288.93400000000003</v>
      </c>
      <c r="R63" s="13">
        <v>306.834</v>
      </c>
      <c r="S63" s="13" t="s">
        <v>65</v>
      </c>
    </row>
    <row r="64" spans="1:19" x14ac:dyDescent="0.3">
      <c r="A64" s="10" t="s">
        <v>646</v>
      </c>
      <c r="B64" s="10" t="s">
        <v>647</v>
      </c>
      <c r="C64" s="13" t="s">
        <v>65</v>
      </c>
      <c r="D64" s="13" t="s">
        <v>65</v>
      </c>
      <c r="E64" s="13" t="s">
        <v>65</v>
      </c>
      <c r="F64" s="13" t="s">
        <v>65</v>
      </c>
      <c r="G64" s="13" t="s">
        <v>65</v>
      </c>
      <c r="H64" s="13" t="s">
        <v>65</v>
      </c>
      <c r="I64" s="13" t="s">
        <v>65</v>
      </c>
      <c r="J64" s="13" t="s">
        <v>65</v>
      </c>
      <c r="K64" s="13">
        <v>0.55900000000000005</v>
      </c>
      <c r="L64" s="13">
        <v>9.8260000000000005</v>
      </c>
      <c r="M64" s="13">
        <v>12.63</v>
      </c>
      <c r="N64" s="13">
        <v>18.024999999999999</v>
      </c>
      <c r="O64" s="13">
        <v>29.692</v>
      </c>
      <c r="P64" s="13">
        <v>30.475000000000001</v>
      </c>
      <c r="Q64" s="13">
        <v>217.08</v>
      </c>
      <c r="R64" s="13">
        <v>256.84399999999999</v>
      </c>
      <c r="S64" s="13" t="s">
        <v>65</v>
      </c>
    </row>
    <row r="65" spans="1:19" x14ac:dyDescent="0.3">
      <c r="A65" s="10" t="s">
        <v>650</v>
      </c>
      <c r="B65" s="10" t="s">
        <v>651</v>
      </c>
      <c r="C65" s="13" t="s">
        <v>65</v>
      </c>
      <c r="D65" s="13" t="s">
        <v>65</v>
      </c>
      <c r="E65" s="13" t="s">
        <v>65</v>
      </c>
      <c r="F65" s="13" t="s">
        <v>65</v>
      </c>
      <c r="G65" s="13" t="s">
        <v>65</v>
      </c>
      <c r="H65" s="13" t="s">
        <v>65</v>
      </c>
      <c r="I65" s="13" t="s">
        <v>65</v>
      </c>
      <c r="J65" s="13" t="s">
        <v>65</v>
      </c>
      <c r="K65" s="13">
        <v>0.106</v>
      </c>
      <c r="L65" s="13" t="s">
        <v>65</v>
      </c>
      <c r="M65" s="13" t="s">
        <v>65</v>
      </c>
      <c r="N65" s="13" t="s">
        <v>65</v>
      </c>
      <c r="O65" s="13">
        <v>29.692</v>
      </c>
      <c r="P65" s="13">
        <v>30.475000000000001</v>
      </c>
      <c r="Q65" s="13">
        <v>8.9169999999999998</v>
      </c>
      <c r="R65" s="13">
        <v>10.945</v>
      </c>
      <c r="S65" s="13" t="s">
        <v>65</v>
      </c>
    </row>
    <row r="66" spans="1:19" x14ac:dyDescent="0.3">
      <c r="A66" s="10" t="s">
        <v>885</v>
      </c>
      <c r="B66" s="10" t="s">
        <v>886</v>
      </c>
      <c r="C66" s="13" t="s">
        <v>65</v>
      </c>
      <c r="D66" s="13" t="s">
        <v>65</v>
      </c>
      <c r="E66" s="13" t="s">
        <v>65</v>
      </c>
      <c r="F66" s="13" t="s">
        <v>65</v>
      </c>
      <c r="G66" s="13" t="s">
        <v>65</v>
      </c>
      <c r="H66" s="13" t="s">
        <v>65</v>
      </c>
      <c r="I66" s="13" t="s">
        <v>65</v>
      </c>
      <c r="J66" s="13" t="s">
        <v>65</v>
      </c>
      <c r="K66" s="13" t="s">
        <v>65</v>
      </c>
      <c r="L66" s="13" t="s">
        <v>65</v>
      </c>
      <c r="M66" s="13" t="s">
        <v>65</v>
      </c>
      <c r="N66" s="13">
        <v>174.80799999999999</v>
      </c>
      <c r="O66" s="13">
        <v>155.34800000000001</v>
      </c>
      <c r="P66" s="13">
        <v>118.983</v>
      </c>
      <c r="Q66" s="13">
        <v>190.47300000000001</v>
      </c>
      <c r="R66" s="13">
        <v>212.90299999999999</v>
      </c>
      <c r="S66" s="13" t="s">
        <v>65</v>
      </c>
    </row>
    <row r="67" spans="1:19" x14ac:dyDescent="0.3">
      <c r="A67" s="10" t="s">
        <v>652</v>
      </c>
      <c r="B67" s="10" t="s">
        <v>653</v>
      </c>
      <c r="C67" s="13" t="s">
        <v>65</v>
      </c>
      <c r="D67" s="13" t="s">
        <v>65</v>
      </c>
      <c r="E67" s="13" t="s">
        <v>65</v>
      </c>
      <c r="F67" s="13" t="s">
        <v>65</v>
      </c>
      <c r="G67" s="13" t="s">
        <v>65</v>
      </c>
      <c r="H67" s="13" t="s">
        <v>65</v>
      </c>
      <c r="I67" s="13" t="s">
        <v>65</v>
      </c>
      <c r="J67" s="13" t="s">
        <v>65</v>
      </c>
      <c r="K67" s="13" t="s">
        <v>65</v>
      </c>
      <c r="L67" s="13" t="s">
        <v>65</v>
      </c>
      <c r="M67" s="13" t="s">
        <v>65</v>
      </c>
      <c r="N67" s="13" t="s">
        <v>65</v>
      </c>
      <c r="O67" s="13" t="s">
        <v>65</v>
      </c>
      <c r="P67" s="13" t="s">
        <v>65</v>
      </c>
      <c r="Q67" s="13">
        <v>0</v>
      </c>
      <c r="R67" s="13">
        <v>0</v>
      </c>
      <c r="S67" s="13" t="s">
        <v>65</v>
      </c>
    </row>
    <row r="68" spans="1:19" x14ac:dyDescent="0.3">
      <c r="A68" s="10" t="s">
        <v>654</v>
      </c>
      <c r="B68" s="10" t="s">
        <v>655</v>
      </c>
      <c r="C68" s="13" t="s">
        <v>65</v>
      </c>
      <c r="D68" s="13" t="s">
        <v>65</v>
      </c>
      <c r="E68" s="13" t="s">
        <v>65</v>
      </c>
      <c r="F68" s="13" t="s">
        <v>65</v>
      </c>
      <c r="G68" s="13" t="s">
        <v>65</v>
      </c>
      <c r="H68" s="13" t="s">
        <v>65</v>
      </c>
      <c r="I68" s="13">
        <v>2950.41</v>
      </c>
      <c r="J68" s="13">
        <v>3652.48</v>
      </c>
      <c r="K68" s="13">
        <v>3217.28</v>
      </c>
      <c r="L68" s="13">
        <v>3633.9</v>
      </c>
      <c r="M68" s="13">
        <v>4004.77</v>
      </c>
      <c r="N68" s="13">
        <v>2506.3000000000002</v>
      </c>
      <c r="O68" s="13">
        <v>4135.93</v>
      </c>
      <c r="P68" s="13">
        <v>6714.71</v>
      </c>
      <c r="Q68" s="13">
        <v>4739.0200000000004</v>
      </c>
      <c r="R68" s="13">
        <v>186.291</v>
      </c>
      <c r="S68" s="13" t="s">
        <v>65</v>
      </c>
    </row>
    <row r="69" spans="1:19" x14ac:dyDescent="0.3">
      <c r="A69" s="10" t="s">
        <v>887</v>
      </c>
      <c r="B69" s="10" t="s">
        <v>657</v>
      </c>
      <c r="C69" s="13" t="s">
        <v>65</v>
      </c>
      <c r="D69" s="13" t="s">
        <v>65</v>
      </c>
      <c r="E69" s="13" t="s">
        <v>65</v>
      </c>
      <c r="F69" s="13" t="s">
        <v>65</v>
      </c>
      <c r="G69" s="13" t="s">
        <v>65</v>
      </c>
      <c r="H69" s="13" t="s">
        <v>65</v>
      </c>
      <c r="I69" s="13">
        <v>0.52900000000000003</v>
      </c>
      <c r="J69" s="13">
        <v>0.22800000000000001</v>
      </c>
      <c r="K69" s="13">
        <v>0.24199999999999999</v>
      </c>
      <c r="L69" s="13">
        <v>0.191</v>
      </c>
      <c r="M69" s="13">
        <v>0.26500000000000001</v>
      </c>
      <c r="N69" s="13">
        <v>0.156</v>
      </c>
      <c r="O69" s="13">
        <v>0.28299999999999997</v>
      </c>
      <c r="P69" s="13">
        <v>0.48499999999999999</v>
      </c>
      <c r="Q69" s="13">
        <v>0.27200000000000002</v>
      </c>
      <c r="R69" s="13">
        <v>0.186</v>
      </c>
      <c r="S69" s="13" t="s">
        <v>65</v>
      </c>
    </row>
    <row r="70" spans="1:19" x14ac:dyDescent="0.3">
      <c r="A70" s="10" t="s">
        <v>888</v>
      </c>
      <c r="B70" s="10" t="s">
        <v>889</v>
      </c>
      <c r="C70" s="14" t="s">
        <v>65</v>
      </c>
      <c r="D70" s="14" t="s">
        <v>65</v>
      </c>
      <c r="E70" s="14" t="s">
        <v>65</v>
      </c>
      <c r="F70" s="14" t="s">
        <v>65</v>
      </c>
      <c r="G70" s="14" t="s">
        <v>65</v>
      </c>
      <c r="H70" s="14" t="s">
        <v>65</v>
      </c>
      <c r="I70" s="14" t="s">
        <v>65</v>
      </c>
      <c r="J70" s="14" t="s">
        <v>65</v>
      </c>
      <c r="K70" s="14" t="s">
        <v>65</v>
      </c>
      <c r="L70" s="14" t="s">
        <v>65</v>
      </c>
      <c r="M70" s="14" t="s">
        <v>65</v>
      </c>
      <c r="N70" s="14" t="s">
        <v>65</v>
      </c>
      <c r="O70" s="14" t="s">
        <v>65</v>
      </c>
      <c r="P70" s="14" t="s">
        <v>65</v>
      </c>
      <c r="Q70" s="14">
        <v>0</v>
      </c>
      <c r="R70" s="14">
        <v>0</v>
      </c>
      <c r="S70" s="14" t="s">
        <v>65</v>
      </c>
    </row>
    <row r="71" spans="1:19" x14ac:dyDescent="0.3">
      <c r="A71" s="10" t="s">
        <v>890</v>
      </c>
      <c r="B71" s="10" t="s">
        <v>891</v>
      </c>
      <c r="C71" s="13" t="s">
        <v>65</v>
      </c>
      <c r="D71" s="13" t="s">
        <v>65</v>
      </c>
      <c r="E71" s="13" t="s">
        <v>65</v>
      </c>
      <c r="F71" s="13" t="s">
        <v>65</v>
      </c>
      <c r="G71" s="13" t="s">
        <v>65</v>
      </c>
      <c r="H71" s="13" t="s">
        <v>65</v>
      </c>
      <c r="I71" s="13" t="s">
        <v>65</v>
      </c>
      <c r="J71" s="13">
        <v>40.323599999999999</v>
      </c>
      <c r="K71" s="13">
        <v>38.892200000000003</v>
      </c>
      <c r="L71" s="13">
        <v>43.798900000000003</v>
      </c>
      <c r="M71" s="13">
        <v>47.592199999999998</v>
      </c>
      <c r="N71" s="13">
        <v>30.5397</v>
      </c>
      <c r="O71" s="13">
        <v>47.002200000000002</v>
      </c>
      <c r="P71" s="13">
        <v>72.798100000000005</v>
      </c>
      <c r="Q71" s="13">
        <v>52.743299999999998</v>
      </c>
      <c r="R71" s="13">
        <v>19.184999999999999</v>
      </c>
      <c r="S71" s="13" t="s">
        <v>65</v>
      </c>
    </row>
    <row r="72" spans="1:19" x14ac:dyDescent="0.3">
      <c r="A72" s="10" t="s">
        <v>892</v>
      </c>
      <c r="B72" s="10" t="s">
        <v>893</v>
      </c>
      <c r="C72" s="13" t="s">
        <v>65</v>
      </c>
      <c r="D72" s="13" t="s">
        <v>65</v>
      </c>
      <c r="E72" s="13" t="s">
        <v>65</v>
      </c>
      <c r="F72" s="13" t="s">
        <v>65</v>
      </c>
      <c r="G72" s="13" t="s">
        <v>65</v>
      </c>
      <c r="H72" s="13" t="s">
        <v>65</v>
      </c>
      <c r="I72" s="13" t="s">
        <v>65</v>
      </c>
      <c r="J72" s="13" t="s">
        <v>65</v>
      </c>
      <c r="K72" s="13" t="s">
        <v>65</v>
      </c>
      <c r="L72" s="13" t="s">
        <v>65</v>
      </c>
      <c r="M72" s="13" t="s">
        <v>65</v>
      </c>
      <c r="N72" s="13" t="s">
        <v>65</v>
      </c>
      <c r="O72" s="13">
        <v>0.42088999999999999</v>
      </c>
      <c r="P72" s="13">
        <v>0.48460999999999999</v>
      </c>
      <c r="Q72" s="13">
        <v>0.50317999999999996</v>
      </c>
      <c r="R72" s="13">
        <v>0.51583999999999997</v>
      </c>
      <c r="S72" s="13" t="s">
        <v>65</v>
      </c>
    </row>
    <row r="73" spans="1:19" x14ac:dyDescent="0.3">
      <c r="A73" s="10" t="s">
        <v>894</v>
      </c>
      <c r="B73" s="10" t="s">
        <v>895</v>
      </c>
      <c r="C73" s="13" t="s">
        <v>65</v>
      </c>
      <c r="D73" s="13" t="s">
        <v>65</v>
      </c>
      <c r="E73" s="13" t="s">
        <v>65</v>
      </c>
      <c r="F73" s="13" t="s">
        <v>65</v>
      </c>
      <c r="G73" s="13" t="s">
        <v>65</v>
      </c>
      <c r="H73" s="13" t="s">
        <v>65</v>
      </c>
      <c r="I73" s="13" t="s">
        <v>65</v>
      </c>
      <c r="J73" s="13" t="s">
        <v>65</v>
      </c>
      <c r="K73" s="13" t="s">
        <v>65</v>
      </c>
      <c r="L73" s="13" t="s">
        <v>65</v>
      </c>
      <c r="M73" s="13" t="s">
        <v>65</v>
      </c>
      <c r="N73" s="13">
        <v>0.45423999999999998</v>
      </c>
      <c r="O73" s="13">
        <v>0.48460999999999999</v>
      </c>
      <c r="P73" s="13">
        <v>0.4209</v>
      </c>
      <c r="Q73" s="13" t="s">
        <v>65</v>
      </c>
      <c r="R73" s="13" t="s">
        <v>65</v>
      </c>
      <c r="S73" s="13" t="s">
        <v>65</v>
      </c>
    </row>
    <row r="74" spans="1:19" x14ac:dyDescent="0.3">
      <c r="A74" s="10" t="s">
        <v>896</v>
      </c>
      <c r="B74" s="10" t="s">
        <v>897</v>
      </c>
      <c r="C74" s="14" t="s">
        <v>65</v>
      </c>
      <c r="D74" s="14" t="s">
        <v>65</v>
      </c>
      <c r="E74" s="14" t="s">
        <v>65</v>
      </c>
      <c r="F74" s="14" t="s">
        <v>65</v>
      </c>
      <c r="G74" s="14" t="s">
        <v>65</v>
      </c>
      <c r="H74" s="14" t="s">
        <v>65</v>
      </c>
      <c r="I74" s="14" t="s">
        <v>65</v>
      </c>
      <c r="J74" s="14" t="s">
        <v>65</v>
      </c>
      <c r="K74" s="14">
        <v>0.14298</v>
      </c>
      <c r="L74" s="14">
        <v>2.5070800000000002</v>
      </c>
      <c r="M74" s="14">
        <v>3.0859999999999999</v>
      </c>
      <c r="N74" s="14">
        <v>4.89154</v>
      </c>
      <c r="O74" s="14">
        <v>8.8840000000000003</v>
      </c>
      <c r="P74" s="14">
        <v>8.5128799999999991</v>
      </c>
      <c r="Q74" s="14">
        <v>64.178600000000003</v>
      </c>
      <c r="R74" s="14">
        <v>77.9268</v>
      </c>
      <c r="S74" s="14" t="s">
        <v>65</v>
      </c>
    </row>
    <row r="75" spans="1:19" x14ac:dyDescent="0.3">
      <c r="A75" s="10" t="s">
        <v>898</v>
      </c>
      <c r="B75" s="10" t="s">
        <v>899</v>
      </c>
      <c r="C75" s="13" t="s">
        <v>65</v>
      </c>
      <c r="D75" s="13" t="s">
        <v>65</v>
      </c>
      <c r="E75" s="13" t="s">
        <v>65</v>
      </c>
      <c r="F75" s="13" t="s">
        <v>65</v>
      </c>
      <c r="G75" s="13" t="s">
        <v>65</v>
      </c>
      <c r="H75" s="13" t="s">
        <v>65</v>
      </c>
      <c r="I75" s="13" t="s">
        <v>65</v>
      </c>
      <c r="J75" s="13">
        <v>335.23099000000002</v>
      </c>
      <c r="K75" s="13">
        <v>351.62601000000001</v>
      </c>
      <c r="L75" s="13">
        <v>346.48901000000001</v>
      </c>
      <c r="M75" s="13">
        <v>357.45400999999998</v>
      </c>
      <c r="N75" s="13">
        <v>319.93398999999999</v>
      </c>
      <c r="O75" s="13">
        <v>257.52999999999997</v>
      </c>
      <c r="P75" s="13">
        <v>258.435</v>
      </c>
      <c r="Q75" s="13">
        <v>288.93398999999999</v>
      </c>
      <c r="R75" s="13">
        <v>295.88900999999998</v>
      </c>
      <c r="S75" s="13" t="s">
        <v>65</v>
      </c>
    </row>
    <row r="76" spans="1:19" x14ac:dyDescent="0.3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1:19" x14ac:dyDescent="0.3">
      <c r="A77" s="10" t="s">
        <v>672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 spans="1:19" x14ac:dyDescent="0.3">
      <c r="A78" s="6" t="s">
        <v>900</v>
      </c>
      <c r="B78" s="6" t="s">
        <v>901</v>
      </c>
      <c r="C78" s="19" t="s">
        <v>65</v>
      </c>
      <c r="D78" s="19" t="s">
        <v>65</v>
      </c>
      <c r="E78" s="19" t="s">
        <v>65</v>
      </c>
      <c r="F78" s="19" t="s">
        <v>65</v>
      </c>
      <c r="G78" s="19" t="s">
        <v>65</v>
      </c>
      <c r="H78" s="19" t="s">
        <v>65</v>
      </c>
      <c r="I78" s="19" t="s">
        <v>65</v>
      </c>
      <c r="J78" s="19" t="s">
        <v>65</v>
      </c>
      <c r="K78" s="19" t="s">
        <v>65</v>
      </c>
      <c r="L78" s="19" t="s">
        <v>65</v>
      </c>
      <c r="M78" s="19">
        <v>1422.74</v>
      </c>
      <c r="N78" s="19">
        <v>1391</v>
      </c>
      <c r="O78" s="19">
        <v>1248</v>
      </c>
      <c r="P78" s="19">
        <v>1168</v>
      </c>
      <c r="Q78" s="19">
        <v>1158</v>
      </c>
      <c r="R78" s="19">
        <v>1176</v>
      </c>
      <c r="S78" s="19" t="s">
        <v>65</v>
      </c>
    </row>
    <row r="79" spans="1:19" x14ac:dyDescent="0.3">
      <c r="A79" s="10" t="s">
        <v>675</v>
      </c>
      <c r="B79" s="10" t="s">
        <v>676</v>
      </c>
      <c r="C79" s="13" t="s">
        <v>65</v>
      </c>
      <c r="D79" s="13" t="s">
        <v>65</v>
      </c>
      <c r="E79" s="13" t="s">
        <v>65</v>
      </c>
      <c r="F79" s="13" t="s">
        <v>65</v>
      </c>
      <c r="G79" s="13" t="s">
        <v>65</v>
      </c>
      <c r="H79" s="13">
        <v>1136.04</v>
      </c>
      <c r="I79" s="13">
        <v>1501.79</v>
      </c>
      <c r="J79" s="13">
        <v>1449.69</v>
      </c>
      <c r="K79" s="13">
        <v>1496.14</v>
      </c>
      <c r="L79" s="13">
        <v>1288.9000000000001</v>
      </c>
      <c r="M79" s="13">
        <v>1422.74</v>
      </c>
      <c r="N79" s="13">
        <v>1391</v>
      </c>
      <c r="O79" s="13">
        <v>1248</v>
      </c>
      <c r="P79" s="13">
        <v>1168</v>
      </c>
      <c r="Q79" s="13">
        <v>1158</v>
      </c>
      <c r="R79" s="13">
        <v>1172</v>
      </c>
      <c r="S79" s="13" t="s">
        <v>65</v>
      </c>
    </row>
    <row r="80" spans="1:19" x14ac:dyDescent="0.3">
      <c r="A80" s="10" t="s">
        <v>902</v>
      </c>
      <c r="B80" s="10" t="s">
        <v>678</v>
      </c>
      <c r="C80" s="13" t="s">
        <v>65</v>
      </c>
      <c r="D80" s="13" t="s">
        <v>65</v>
      </c>
      <c r="E80" s="13" t="s">
        <v>65</v>
      </c>
      <c r="F80" s="13" t="s">
        <v>65</v>
      </c>
      <c r="G80" s="13" t="s">
        <v>65</v>
      </c>
      <c r="H80" s="13" t="s">
        <v>65</v>
      </c>
      <c r="I80" s="13" t="s">
        <v>65</v>
      </c>
      <c r="J80" s="13" t="s">
        <v>65</v>
      </c>
      <c r="K80" s="13" t="s">
        <v>65</v>
      </c>
      <c r="L80" s="13" t="s">
        <v>65</v>
      </c>
      <c r="M80" s="13" t="s">
        <v>65</v>
      </c>
      <c r="N80" s="13" t="s">
        <v>65</v>
      </c>
      <c r="O80" s="13">
        <v>0</v>
      </c>
      <c r="P80" s="13">
        <v>527</v>
      </c>
      <c r="Q80" s="13" t="s">
        <v>65</v>
      </c>
      <c r="R80" s="13" t="s">
        <v>65</v>
      </c>
      <c r="S80" s="13" t="s">
        <v>65</v>
      </c>
    </row>
    <row r="81" spans="1:19" x14ac:dyDescent="0.3">
      <c r="A81" s="10" t="s">
        <v>679</v>
      </c>
      <c r="B81" s="10" t="s">
        <v>680</v>
      </c>
      <c r="C81" s="13" t="s">
        <v>65</v>
      </c>
      <c r="D81" s="13" t="s">
        <v>65</v>
      </c>
      <c r="E81" s="13" t="s">
        <v>65</v>
      </c>
      <c r="F81" s="13" t="s">
        <v>65</v>
      </c>
      <c r="G81" s="13" t="s">
        <v>65</v>
      </c>
      <c r="H81" s="13" t="s">
        <v>65</v>
      </c>
      <c r="I81" s="13" t="s">
        <v>65</v>
      </c>
      <c r="J81" s="13" t="s">
        <v>65</v>
      </c>
      <c r="K81" s="13" t="s">
        <v>65</v>
      </c>
      <c r="L81" s="13" t="s">
        <v>65</v>
      </c>
      <c r="M81" s="13" t="s">
        <v>65</v>
      </c>
      <c r="N81" s="13" t="s">
        <v>65</v>
      </c>
      <c r="O81" s="13">
        <v>0</v>
      </c>
      <c r="P81" s="13">
        <v>390</v>
      </c>
      <c r="Q81" s="13">
        <v>449</v>
      </c>
      <c r="R81" s="13">
        <v>657</v>
      </c>
      <c r="S81" s="13" t="s">
        <v>65</v>
      </c>
    </row>
    <row r="82" spans="1:19" x14ac:dyDescent="0.3">
      <c r="A82" s="10" t="s">
        <v>903</v>
      </c>
      <c r="B82" s="10" t="s">
        <v>904</v>
      </c>
      <c r="C82" s="13" t="s">
        <v>65</v>
      </c>
      <c r="D82" s="13" t="s">
        <v>65</v>
      </c>
      <c r="E82" s="13" t="s">
        <v>65</v>
      </c>
      <c r="F82" s="13" t="s">
        <v>65</v>
      </c>
      <c r="G82" s="13" t="s">
        <v>65</v>
      </c>
      <c r="H82" s="13" t="s">
        <v>65</v>
      </c>
      <c r="I82" s="13" t="s">
        <v>65</v>
      </c>
      <c r="J82" s="13" t="s">
        <v>65</v>
      </c>
      <c r="K82" s="13" t="s">
        <v>65</v>
      </c>
      <c r="L82" s="13" t="s">
        <v>65</v>
      </c>
      <c r="M82" s="13" t="s">
        <v>65</v>
      </c>
      <c r="N82" s="13" t="s">
        <v>65</v>
      </c>
      <c r="O82" s="13">
        <v>1248</v>
      </c>
      <c r="P82" s="13">
        <v>641</v>
      </c>
      <c r="Q82" s="13" t="s">
        <v>65</v>
      </c>
      <c r="R82" s="13" t="s">
        <v>65</v>
      </c>
      <c r="S82" s="13" t="s">
        <v>65</v>
      </c>
    </row>
    <row r="83" spans="1:19" x14ac:dyDescent="0.3">
      <c r="A83" s="10" t="s">
        <v>905</v>
      </c>
      <c r="B83" s="10" t="s">
        <v>906</v>
      </c>
      <c r="C83" s="13" t="s">
        <v>65</v>
      </c>
      <c r="D83" s="13" t="s">
        <v>65</v>
      </c>
      <c r="E83" s="13" t="s">
        <v>65</v>
      </c>
      <c r="F83" s="13" t="s">
        <v>65</v>
      </c>
      <c r="G83" s="13" t="s">
        <v>65</v>
      </c>
      <c r="H83" s="13" t="s">
        <v>65</v>
      </c>
      <c r="I83" s="13" t="s">
        <v>65</v>
      </c>
      <c r="J83" s="13" t="s">
        <v>65</v>
      </c>
      <c r="K83" s="13" t="s">
        <v>65</v>
      </c>
      <c r="L83" s="13" t="s">
        <v>65</v>
      </c>
      <c r="M83" s="13" t="s">
        <v>65</v>
      </c>
      <c r="N83" s="13" t="s">
        <v>65</v>
      </c>
      <c r="O83" s="13" t="s">
        <v>65</v>
      </c>
      <c r="P83" s="13" t="s">
        <v>65</v>
      </c>
      <c r="Q83" s="13" t="s">
        <v>65</v>
      </c>
      <c r="R83" s="13">
        <v>4</v>
      </c>
      <c r="S83" s="13" t="s">
        <v>65</v>
      </c>
    </row>
    <row r="84" spans="1:19" x14ac:dyDescent="0.3">
      <c r="A84" s="10" t="s">
        <v>907</v>
      </c>
      <c r="B84" s="10" t="s">
        <v>908</v>
      </c>
      <c r="C84" s="14" t="s">
        <v>65</v>
      </c>
      <c r="D84" s="14" t="s">
        <v>65</v>
      </c>
      <c r="E84" s="14" t="s">
        <v>65</v>
      </c>
      <c r="F84" s="14" t="s">
        <v>65</v>
      </c>
      <c r="G84" s="14" t="s">
        <v>65</v>
      </c>
      <c r="H84" s="14" t="s">
        <v>65</v>
      </c>
      <c r="I84" s="14" t="s">
        <v>65</v>
      </c>
      <c r="J84" s="14" t="s">
        <v>65</v>
      </c>
      <c r="K84" s="14" t="s">
        <v>65</v>
      </c>
      <c r="L84" s="14" t="s">
        <v>65</v>
      </c>
      <c r="M84" s="14" t="s">
        <v>65</v>
      </c>
      <c r="N84" s="14" t="s">
        <v>65</v>
      </c>
      <c r="O84" s="14" t="s">
        <v>65</v>
      </c>
      <c r="P84" s="14" t="s">
        <v>65</v>
      </c>
      <c r="Q84" s="14" t="s">
        <v>65</v>
      </c>
      <c r="R84" s="14">
        <v>0.34010000000000001</v>
      </c>
      <c r="S84" s="14" t="s">
        <v>65</v>
      </c>
    </row>
    <row r="85" spans="1:19" x14ac:dyDescent="0.3">
      <c r="A85" s="10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spans="1:19" x14ac:dyDescent="0.3">
      <c r="A86" s="10" t="s">
        <v>909</v>
      </c>
      <c r="B86" s="10" t="s">
        <v>910</v>
      </c>
      <c r="C86" s="13" t="s">
        <v>65</v>
      </c>
      <c r="D86" s="13" t="s">
        <v>65</v>
      </c>
      <c r="E86" s="13" t="s">
        <v>65</v>
      </c>
      <c r="F86" s="13" t="s">
        <v>65</v>
      </c>
      <c r="G86" s="13" t="s">
        <v>65</v>
      </c>
      <c r="H86" s="13" t="s">
        <v>65</v>
      </c>
      <c r="I86" s="13" t="s">
        <v>65</v>
      </c>
      <c r="J86" s="13" t="s">
        <v>65</v>
      </c>
      <c r="K86" s="13">
        <v>1496.14</v>
      </c>
      <c r="L86" s="13">
        <v>1288.9000000000001</v>
      </c>
      <c r="M86" s="13">
        <v>1422.74</v>
      </c>
      <c r="N86" s="13">
        <v>1369</v>
      </c>
      <c r="O86" s="13">
        <v>964</v>
      </c>
      <c r="P86" s="13">
        <v>768</v>
      </c>
      <c r="Q86" s="13">
        <v>1158</v>
      </c>
      <c r="R86" s="13">
        <v>1182</v>
      </c>
      <c r="S86" s="13" t="s">
        <v>65</v>
      </c>
    </row>
    <row r="87" spans="1:19" x14ac:dyDescent="0.3">
      <c r="A87" s="10" t="s">
        <v>911</v>
      </c>
      <c r="B87" s="10" t="s">
        <v>912</v>
      </c>
      <c r="C87" s="13" t="s">
        <v>65</v>
      </c>
      <c r="D87" s="13" t="s">
        <v>65</v>
      </c>
      <c r="E87" s="13" t="s">
        <v>65</v>
      </c>
      <c r="F87" s="13" t="s">
        <v>65</v>
      </c>
      <c r="G87" s="13" t="s">
        <v>65</v>
      </c>
      <c r="H87" s="13" t="s">
        <v>65</v>
      </c>
      <c r="I87" s="13" t="s">
        <v>65</v>
      </c>
      <c r="J87" s="13" t="s">
        <v>65</v>
      </c>
      <c r="K87" s="13" t="s">
        <v>65</v>
      </c>
      <c r="L87" s="13" t="s">
        <v>65</v>
      </c>
      <c r="M87" s="13" t="s">
        <v>65</v>
      </c>
      <c r="N87" s="13" t="s">
        <v>65</v>
      </c>
      <c r="O87" s="13" t="s">
        <v>65</v>
      </c>
      <c r="P87" s="13">
        <v>44</v>
      </c>
      <c r="Q87" s="13" t="s">
        <v>65</v>
      </c>
      <c r="R87" s="13" t="s">
        <v>65</v>
      </c>
      <c r="S87" s="13" t="s">
        <v>65</v>
      </c>
    </row>
    <row r="88" spans="1:19" x14ac:dyDescent="0.3">
      <c r="A88" s="10" t="s">
        <v>913</v>
      </c>
      <c r="B88" s="10" t="s">
        <v>914</v>
      </c>
      <c r="C88" s="13" t="s">
        <v>65</v>
      </c>
      <c r="D88" s="13" t="s">
        <v>65</v>
      </c>
      <c r="E88" s="13" t="s">
        <v>65</v>
      </c>
      <c r="F88" s="13" t="s">
        <v>65</v>
      </c>
      <c r="G88" s="13" t="s">
        <v>65</v>
      </c>
      <c r="H88" s="13" t="s">
        <v>65</v>
      </c>
      <c r="I88" s="13" t="s">
        <v>65</v>
      </c>
      <c r="J88" s="13" t="s">
        <v>65</v>
      </c>
      <c r="K88" s="13" t="s">
        <v>65</v>
      </c>
      <c r="L88" s="13" t="s">
        <v>65</v>
      </c>
      <c r="M88" s="13" t="s">
        <v>65</v>
      </c>
      <c r="N88" s="13" t="s">
        <v>65</v>
      </c>
      <c r="O88" s="13">
        <v>269</v>
      </c>
      <c r="P88" s="13" t="s">
        <v>65</v>
      </c>
      <c r="Q88" s="13" t="s">
        <v>65</v>
      </c>
      <c r="R88" s="13" t="s">
        <v>65</v>
      </c>
      <c r="S88" s="13" t="s">
        <v>65</v>
      </c>
    </row>
    <row r="89" spans="1:19" x14ac:dyDescent="0.3">
      <c r="A89" s="10" t="s">
        <v>915</v>
      </c>
      <c r="B89" s="10" t="s">
        <v>916</v>
      </c>
      <c r="C89" s="13" t="s">
        <v>65</v>
      </c>
      <c r="D89" s="13" t="s">
        <v>65</v>
      </c>
      <c r="E89" s="13" t="s">
        <v>65</v>
      </c>
      <c r="F89" s="13" t="s">
        <v>65</v>
      </c>
      <c r="G89" s="13" t="s">
        <v>65</v>
      </c>
      <c r="H89" s="13" t="s">
        <v>65</v>
      </c>
      <c r="I89" s="13" t="s">
        <v>65</v>
      </c>
      <c r="J89" s="13" t="s">
        <v>65</v>
      </c>
      <c r="K89" s="13" t="s">
        <v>65</v>
      </c>
      <c r="L89" s="13" t="s">
        <v>65</v>
      </c>
      <c r="M89" s="13" t="s">
        <v>65</v>
      </c>
      <c r="N89" s="13" t="s">
        <v>65</v>
      </c>
      <c r="O89" s="13" t="s">
        <v>65</v>
      </c>
      <c r="P89" s="13">
        <v>356</v>
      </c>
      <c r="Q89" s="13" t="s">
        <v>65</v>
      </c>
      <c r="R89" s="13" t="s">
        <v>65</v>
      </c>
      <c r="S89" s="13" t="s">
        <v>65</v>
      </c>
    </row>
    <row r="90" spans="1:19" x14ac:dyDescent="0.3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</row>
    <row r="91" spans="1:19" x14ac:dyDescent="0.3">
      <c r="A91" s="10" t="s">
        <v>917</v>
      </c>
      <c r="B91" s="10" t="s">
        <v>918</v>
      </c>
      <c r="C91" s="14" t="s">
        <v>65</v>
      </c>
      <c r="D91" s="14" t="s">
        <v>65</v>
      </c>
      <c r="E91" s="14" t="s">
        <v>65</v>
      </c>
      <c r="F91" s="14" t="s">
        <v>65</v>
      </c>
      <c r="G91" s="14" t="s">
        <v>65</v>
      </c>
      <c r="H91" s="14" t="s">
        <v>65</v>
      </c>
      <c r="I91" s="14" t="s">
        <v>65</v>
      </c>
      <c r="J91" s="14" t="s">
        <v>65</v>
      </c>
      <c r="K91" s="14" t="s">
        <v>65</v>
      </c>
      <c r="L91" s="14" t="s">
        <v>65</v>
      </c>
      <c r="M91" s="14" t="s">
        <v>65</v>
      </c>
      <c r="N91" s="14" t="s">
        <v>65</v>
      </c>
      <c r="O91" s="14">
        <v>7.7</v>
      </c>
      <c r="P91" s="14">
        <v>6.07</v>
      </c>
      <c r="Q91" s="14">
        <v>5.95</v>
      </c>
      <c r="R91" s="14">
        <v>7.25</v>
      </c>
      <c r="S91" s="14" t="s">
        <v>65</v>
      </c>
    </row>
    <row r="92" spans="1:19" x14ac:dyDescent="0.3">
      <c r="A92" s="10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</row>
    <row r="93" spans="1:19" x14ac:dyDescent="0.3">
      <c r="A93" s="10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</row>
    <row r="94" spans="1:19" x14ac:dyDescent="0.3">
      <c r="A94" s="10" t="s">
        <v>919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spans="1:19" x14ac:dyDescent="0.3">
      <c r="A95" s="6" t="s">
        <v>663</v>
      </c>
      <c r="B95" s="6" t="s">
        <v>664</v>
      </c>
      <c r="C95" s="19" t="s">
        <v>65</v>
      </c>
      <c r="D95" s="19" t="s">
        <v>65</v>
      </c>
      <c r="E95" s="19" t="s">
        <v>65</v>
      </c>
      <c r="F95" s="19" t="s">
        <v>65</v>
      </c>
      <c r="G95" s="19" t="s">
        <v>65</v>
      </c>
      <c r="H95" s="19">
        <v>11.814</v>
      </c>
      <c r="I95" s="19">
        <v>13.298999999999999</v>
      </c>
      <c r="J95" s="19">
        <v>15.811999999999999</v>
      </c>
      <c r="K95" s="19">
        <v>21.545000000000002</v>
      </c>
      <c r="L95" s="19">
        <v>17.593</v>
      </c>
      <c r="M95" s="19">
        <v>17.013999999999999</v>
      </c>
      <c r="N95" s="19">
        <v>19.699000000000002</v>
      </c>
      <c r="O95" s="19">
        <v>13.686</v>
      </c>
      <c r="P95" s="19">
        <v>17.256</v>
      </c>
      <c r="Q95" s="19">
        <v>21.007999999999999</v>
      </c>
      <c r="R95" s="19">
        <v>15.301</v>
      </c>
      <c r="S95" s="19" t="s">
        <v>65</v>
      </c>
    </row>
    <row r="96" spans="1:19" x14ac:dyDescent="0.3">
      <c r="A96" s="10" t="s">
        <v>661</v>
      </c>
      <c r="B96" s="10" t="s">
        <v>662</v>
      </c>
      <c r="C96" s="13" t="s">
        <v>65</v>
      </c>
      <c r="D96" s="13" t="s">
        <v>65</v>
      </c>
      <c r="E96" s="13" t="s">
        <v>65</v>
      </c>
      <c r="F96" s="13" t="s">
        <v>65</v>
      </c>
      <c r="G96" s="13" t="s">
        <v>65</v>
      </c>
      <c r="H96" s="13">
        <v>0.48399999999999999</v>
      </c>
      <c r="I96" s="13">
        <v>0.84799999999999998</v>
      </c>
      <c r="J96" s="13">
        <v>2.5070000000000001</v>
      </c>
      <c r="K96" s="13">
        <v>2.887</v>
      </c>
      <c r="L96" s="13">
        <v>2.9420000000000002</v>
      </c>
      <c r="M96" s="13">
        <v>2.9969999999999999</v>
      </c>
      <c r="N96" s="13">
        <v>2.8420000000000001</v>
      </c>
      <c r="O96" s="13">
        <v>2.3210000000000002</v>
      </c>
      <c r="P96" s="13">
        <v>2.4980000000000002</v>
      </c>
      <c r="Q96" s="13">
        <v>3.4740000000000002</v>
      </c>
      <c r="R96" s="13">
        <v>1.1890000000000001</v>
      </c>
      <c r="S96" s="13" t="s">
        <v>65</v>
      </c>
    </row>
    <row r="97" spans="1:19" x14ac:dyDescent="0.3">
      <c r="A97" s="10" t="s">
        <v>667</v>
      </c>
      <c r="B97" s="10" t="s">
        <v>668</v>
      </c>
      <c r="C97" s="13" t="s">
        <v>65</v>
      </c>
      <c r="D97" s="13" t="s">
        <v>65</v>
      </c>
      <c r="E97" s="13" t="s">
        <v>65</v>
      </c>
      <c r="F97" s="13" t="s">
        <v>65</v>
      </c>
      <c r="G97" s="13" t="s">
        <v>65</v>
      </c>
      <c r="H97" s="13">
        <v>1.792</v>
      </c>
      <c r="I97" s="13">
        <v>1.4910000000000001</v>
      </c>
      <c r="J97" s="13">
        <v>1.903</v>
      </c>
      <c r="K97" s="13">
        <v>1.992</v>
      </c>
      <c r="L97" s="13">
        <v>1.105</v>
      </c>
      <c r="M97" s="13">
        <v>1.3089999999999999</v>
      </c>
      <c r="N97" s="13">
        <v>1.4319999999999999</v>
      </c>
      <c r="O97" s="13">
        <v>1.0329999999999999</v>
      </c>
      <c r="P97" s="13">
        <v>2.1030000000000002</v>
      </c>
      <c r="Q97" s="13">
        <v>1.8240000000000001</v>
      </c>
      <c r="R97" s="13">
        <v>1.4379999999999999</v>
      </c>
      <c r="S97" s="13" t="s">
        <v>65</v>
      </c>
    </row>
    <row r="98" spans="1:19" x14ac:dyDescent="0.3">
      <c r="A98" s="10" t="s">
        <v>665</v>
      </c>
      <c r="B98" s="10" t="s">
        <v>666</v>
      </c>
      <c r="C98" s="13" t="s">
        <v>65</v>
      </c>
      <c r="D98" s="13" t="s">
        <v>65</v>
      </c>
      <c r="E98" s="13" t="s">
        <v>65</v>
      </c>
      <c r="F98" s="13" t="s">
        <v>65</v>
      </c>
      <c r="G98" s="13" t="s">
        <v>65</v>
      </c>
      <c r="H98" s="13">
        <v>9.923</v>
      </c>
      <c r="I98" s="13">
        <v>11.553000000000001</v>
      </c>
      <c r="J98" s="13">
        <v>13.46</v>
      </c>
      <c r="K98" s="13">
        <v>18.649999999999999</v>
      </c>
      <c r="L98" s="13">
        <v>15.606</v>
      </c>
      <c r="M98" s="13">
        <v>14.868</v>
      </c>
      <c r="N98" s="13">
        <v>17.047999999999998</v>
      </c>
      <c r="O98" s="13">
        <v>11.637</v>
      </c>
      <c r="P98" s="13">
        <v>11.000999999999999</v>
      </c>
      <c r="Q98" s="13">
        <v>12.856</v>
      </c>
      <c r="R98" s="13">
        <v>10.615</v>
      </c>
      <c r="S98" s="13" t="s">
        <v>65</v>
      </c>
    </row>
    <row r="99" spans="1:19" x14ac:dyDescent="0.3">
      <c r="A99" s="10" t="s">
        <v>920</v>
      </c>
      <c r="B99" s="10" t="s">
        <v>921</v>
      </c>
      <c r="C99" s="13" t="s">
        <v>65</v>
      </c>
      <c r="D99" s="13" t="s">
        <v>65</v>
      </c>
      <c r="E99" s="13" t="s">
        <v>65</v>
      </c>
      <c r="F99" s="13" t="s">
        <v>65</v>
      </c>
      <c r="G99" s="13" t="s">
        <v>65</v>
      </c>
      <c r="H99" s="13" t="s">
        <v>65</v>
      </c>
      <c r="I99" s="13">
        <v>0.255</v>
      </c>
      <c r="J99" s="13">
        <v>0.34599999999999997</v>
      </c>
      <c r="K99" s="13">
        <v>0.65700000000000003</v>
      </c>
      <c r="L99" s="13">
        <v>0.66100000000000003</v>
      </c>
      <c r="M99" s="13">
        <v>0.495</v>
      </c>
      <c r="N99" s="13">
        <v>0.47</v>
      </c>
      <c r="O99" s="13">
        <v>0.42399999999999999</v>
      </c>
      <c r="P99" s="13">
        <v>0.42199999999999999</v>
      </c>
      <c r="Q99" s="13">
        <v>0.40200000000000002</v>
      </c>
      <c r="R99" s="13">
        <v>0.30299999999999999</v>
      </c>
      <c r="S99" s="13" t="s">
        <v>65</v>
      </c>
    </row>
    <row r="100" spans="1:19" x14ac:dyDescent="0.3">
      <c r="A100" s="10" t="s">
        <v>922</v>
      </c>
      <c r="B100" s="10" t="s">
        <v>923</v>
      </c>
      <c r="C100" s="13" t="s">
        <v>65</v>
      </c>
      <c r="D100" s="13" t="s">
        <v>65</v>
      </c>
      <c r="E100" s="13" t="s">
        <v>65</v>
      </c>
      <c r="F100" s="13" t="s">
        <v>65</v>
      </c>
      <c r="G100" s="13" t="s">
        <v>65</v>
      </c>
      <c r="H100" s="13" t="s">
        <v>65</v>
      </c>
      <c r="I100" s="13">
        <v>0.35899999999999999</v>
      </c>
      <c r="J100" s="13">
        <v>0.29299999999999998</v>
      </c>
      <c r="K100" s="13">
        <v>0.62</v>
      </c>
      <c r="L100" s="13">
        <v>0.72299999999999998</v>
      </c>
      <c r="M100" s="13">
        <v>0.52900000000000003</v>
      </c>
      <c r="N100" s="13">
        <v>0.56200000000000006</v>
      </c>
      <c r="O100" s="13">
        <v>0.39600000000000002</v>
      </c>
      <c r="P100" s="13" t="s">
        <v>65</v>
      </c>
      <c r="Q100" s="13" t="s">
        <v>65</v>
      </c>
      <c r="R100" s="13" t="s">
        <v>65</v>
      </c>
      <c r="S100" s="13" t="s">
        <v>65</v>
      </c>
    </row>
    <row r="101" spans="1:19" x14ac:dyDescent="0.3">
      <c r="A101" s="10" t="s">
        <v>924</v>
      </c>
      <c r="B101" s="10" t="s">
        <v>925</v>
      </c>
      <c r="C101" s="13" t="s">
        <v>65</v>
      </c>
      <c r="D101" s="13" t="s">
        <v>65</v>
      </c>
      <c r="E101" s="13" t="s">
        <v>65</v>
      </c>
      <c r="F101" s="13" t="s">
        <v>65</v>
      </c>
      <c r="G101" s="13" t="s">
        <v>65</v>
      </c>
      <c r="H101" s="13" t="s">
        <v>65</v>
      </c>
      <c r="I101" s="13" t="s">
        <v>65</v>
      </c>
      <c r="J101" s="13">
        <v>0.10299999999999999</v>
      </c>
      <c r="K101" s="13">
        <v>0.246</v>
      </c>
      <c r="L101" s="13">
        <v>0.221</v>
      </c>
      <c r="M101" s="13">
        <v>0.34200000000000003</v>
      </c>
      <c r="N101" s="13">
        <v>0.749</v>
      </c>
      <c r="O101" s="13">
        <v>0.59199999999999997</v>
      </c>
      <c r="P101" s="13">
        <v>1.232</v>
      </c>
      <c r="Q101" s="13">
        <v>2.4540000000000002</v>
      </c>
      <c r="R101" s="13">
        <v>2.944</v>
      </c>
      <c r="S101" s="13" t="s">
        <v>65</v>
      </c>
    </row>
    <row r="102" spans="1:19" x14ac:dyDescent="0.3">
      <c r="A102" s="10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</row>
    <row r="103" spans="1:19" x14ac:dyDescent="0.3">
      <c r="A103" s="10" t="s">
        <v>926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spans="1:19" x14ac:dyDescent="0.3">
      <c r="A104" s="10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 spans="1:19" x14ac:dyDescent="0.3">
      <c r="A105" s="10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spans="1:19" x14ac:dyDescent="0.3">
      <c r="A106" s="10" t="s">
        <v>927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</row>
    <row r="107" spans="1:19" x14ac:dyDescent="0.3">
      <c r="A107" s="10" t="s">
        <v>928</v>
      </c>
      <c r="B107" s="10" t="s">
        <v>929</v>
      </c>
      <c r="C107" s="14" t="s">
        <v>65</v>
      </c>
      <c r="D107" s="14" t="s">
        <v>65</v>
      </c>
      <c r="E107" s="14" t="s">
        <v>65</v>
      </c>
      <c r="F107" s="14" t="s">
        <v>65</v>
      </c>
      <c r="G107" s="14" t="s">
        <v>65</v>
      </c>
      <c r="H107" s="14" t="s">
        <v>65</v>
      </c>
      <c r="I107" s="14" t="s">
        <v>65</v>
      </c>
      <c r="J107" s="14" t="s">
        <v>65</v>
      </c>
      <c r="K107" s="14" t="s">
        <v>65</v>
      </c>
      <c r="L107" s="14">
        <v>0</v>
      </c>
      <c r="M107" s="14">
        <v>0</v>
      </c>
      <c r="N107" s="14">
        <v>0</v>
      </c>
      <c r="O107" s="14" t="s">
        <v>65</v>
      </c>
      <c r="P107" s="14" t="s">
        <v>65</v>
      </c>
      <c r="Q107" s="14" t="s">
        <v>65</v>
      </c>
      <c r="R107" s="14" t="s">
        <v>65</v>
      </c>
      <c r="S107" s="14" t="s">
        <v>65</v>
      </c>
    </row>
    <row r="108" spans="1:19" x14ac:dyDescent="0.3">
      <c r="A108" s="10" t="s">
        <v>930</v>
      </c>
      <c r="B108" s="10" t="s">
        <v>931</v>
      </c>
      <c r="C108" s="13" t="s">
        <v>65</v>
      </c>
      <c r="D108" s="13" t="s">
        <v>65</v>
      </c>
      <c r="E108" s="13" t="s">
        <v>65</v>
      </c>
      <c r="F108" s="13" t="s">
        <v>65</v>
      </c>
      <c r="G108" s="13" t="s">
        <v>65</v>
      </c>
      <c r="H108" s="13" t="s">
        <v>65</v>
      </c>
      <c r="I108" s="13" t="s">
        <v>65</v>
      </c>
      <c r="J108" s="13" t="s">
        <v>65</v>
      </c>
      <c r="K108" s="13" t="s">
        <v>65</v>
      </c>
      <c r="L108" s="13">
        <v>0</v>
      </c>
      <c r="M108" s="13">
        <v>0</v>
      </c>
      <c r="N108" s="13">
        <v>0</v>
      </c>
      <c r="O108" s="13" t="s">
        <v>65</v>
      </c>
      <c r="P108" s="13" t="s">
        <v>65</v>
      </c>
      <c r="Q108" s="13" t="s">
        <v>65</v>
      </c>
      <c r="R108" s="13" t="s">
        <v>65</v>
      </c>
      <c r="S108" s="13" t="s">
        <v>65</v>
      </c>
    </row>
    <row r="109" spans="1:19" x14ac:dyDescent="0.3">
      <c r="A109" s="10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</row>
    <row r="110" spans="1:19" x14ac:dyDescent="0.3">
      <c r="A110" s="10" t="s">
        <v>932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</row>
    <row r="111" spans="1:19" x14ac:dyDescent="0.3">
      <c r="A111" s="10" t="s">
        <v>933</v>
      </c>
      <c r="B111" s="10" t="s">
        <v>934</v>
      </c>
      <c r="C111" s="14" t="s">
        <v>65</v>
      </c>
      <c r="D111" s="14" t="s">
        <v>65</v>
      </c>
      <c r="E111" s="14" t="s">
        <v>65</v>
      </c>
      <c r="F111" s="14" t="s">
        <v>65</v>
      </c>
      <c r="G111" s="14" t="s">
        <v>65</v>
      </c>
      <c r="H111" s="14" t="s">
        <v>65</v>
      </c>
      <c r="I111" s="14" t="s">
        <v>65</v>
      </c>
      <c r="J111" s="14" t="s">
        <v>65</v>
      </c>
      <c r="K111" s="14" t="s">
        <v>65</v>
      </c>
      <c r="L111" s="14" t="s">
        <v>65</v>
      </c>
      <c r="M111" s="14" t="s">
        <v>65</v>
      </c>
      <c r="N111" s="14" t="s">
        <v>65</v>
      </c>
      <c r="O111" s="14">
        <v>0</v>
      </c>
      <c r="P111" s="14" t="s">
        <v>65</v>
      </c>
      <c r="Q111" s="14" t="s">
        <v>65</v>
      </c>
      <c r="R111" s="14" t="s">
        <v>65</v>
      </c>
      <c r="S111" s="14" t="s">
        <v>65</v>
      </c>
    </row>
    <row r="112" spans="1:19" x14ac:dyDescent="0.3">
      <c r="A112" s="10" t="s">
        <v>935</v>
      </c>
      <c r="B112" s="10" t="s">
        <v>936</v>
      </c>
      <c r="C112" s="13" t="s">
        <v>65</v>
      </c>
      <c r="D112" s="13" t="s">
        <v>65</v>
      </c>
      <c r="E112" s="13" t="s">
        <v>65</v>
      </c>
      <c r="F112" s="13" t="s">
        <v>65</v>
      </c>
      <c r="G112" s="13" t="s">
        <v>65</v>
      </c>
      <c r="H112" s="13" t="s">
        <v>65</v>
      </c>
      <c r="I112" s="13" t="s">
        <v>65</v>
      </c>
      <c r="J112" s="13" t="s">
        <v>65</v>
      </c>
      <c r="K112" s="13" t="s">
        <v>65</v>
      </c>
      <c r="L112" s="13" t="s">
        <v>65</v>
      </c>
      <c r="M112" s="13" t="s">
        <v>65</v>
      </c>
      <c r="N112" s="13" t="s">
        <v>65</v>
      </c>
      <c r="O112" s="13">
        <v>0</v>
      </c>
      <c r="P112" s="13" t="s">
        <v>65</v>
      </c>
      <c r="Q112" s="13" t="s">
        <v>65</v>
      </c>
      <c r="R112" s="13" t="s">
        <v>65</v>
      </c>
      <c r="S112" s="13" t="s">
        <v>65</v>
      </c>
    </row>
    <row r="113" spans="1:19" x14ac:dyDescent="0.3">
      <c r="A113" s="10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</row>
    <row r="114" spans="1:19" x14ac:dyDescent="0.3">
      <c r="A114" s="10" t="s">
        <v>937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</row>
    <row r="115" spans="1:19" x14ac:dyDescent="0.3">
      <c r="A115" s="10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 spans="1:19" x14ac:dyDescent="0.3">
      <c r="A116" s="10" t="s">
        <v>938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</row>
    <row r="117" spans="1:19" x14ac:dyDescent="0.3">
      <c r="A117" s="10" t="s">
        <v>939</v>
      </c>
      <c r="B117" s="10" t="s">
        <v>940</v>
      </c>
      <c r="C117" s="14" t="s">
        <v>65</v>
      </c>
      <c r="D117" s="14" t="s">
        <v>65</v>
      </c>
      <c r="E117" s="14" t="s">
        <v>65</v>
      </c>
      <c r="F117" s="14" t="s">
        <v>65</v>
      </c>
      <c r="G117" s="14" t="s">
        <v>65</v>
      </c>
      <c r="H117" s="14" t="s">
        <v>65</v>
      </c>
      <c r="I117" s="14" t="s">
        <v>65</v>
      </c>
      <c r="J117" s="14" t="s">
        <v>65</v>
      </c>
      <c r="K117" s="14" t="s">
        <v>65</v>
      </c>
      <c r="L117" s="14" t="s">
        <v>65</v>
      </c>
      <c r="M117" s="14" t="s">
        <v>65</v>
      </c>
      <c r="N117" s="14" t="s">
        <v>65</v>
      </c>
      <c r="O117" s="14" t="s">
        <v>65</v>
      </c>
      <c r="P117" s="14" t="s">
        <v>65</v>
      </c>
      <c r="Q117" s="14">
        <v>35</v>
      </c>
      <c r="R117" s="14">
        <v>33</v>
      </c>
      <c r="S117" s="14" t="s">
        <v>65</v>
      </c>
    </row>
    <row r="118" spans="1:19" x14ac:dyDescent="0.3">
      <c r="A118" s="10" t="s">
        <v>941</v>
      </c>
      <c r="B118" s="10" t="s">
        <v>942</v>
      </c>
      <c r="C118" s="14" t="s">
        <v>65</v>
      </c>
      <c r="D118" s="14" t="s">
        <v>65</v>
      </c>
      <c r="E118" s="14" t="s">
        <v>65</v>
      </c>
      <c r="F118" s="14" t="s">
        <v>65</v>
      </c>
      <c r="G118" s="14" t="s">
        <v>65</v>
      </c>
      <c r="H118" s="14" t="s">
        <v>65</v>
      </c>
      <c r="I118" s="14" t="s">
        <v>65</v>
      </c>
      <c r="J118" s="14" t="s">
        <v>65</v>
      </c>
      <c r="K118" s="14" t="s">
        <v>65</v>
      </c>
      <c r="L118" s="14" t="s">
        <v>65</v>
      </c>
      <c r="M118" s="14" t="s">
        <v>65</v>
      </c>
      <c r="N118" s="14" t="s">
        <v>65</v>
      </c>
      <c r="O118" s="14" t="s">
        <v>65</v>
      </c>
      <c r="P118" s="14" t="s">
        <v>65</v>
      </c>
      <c r="Q118" s="14" t="s">
        <v>65</v>
      </c>
      <c r="R118" s="14">
        <v>22</v>
      </c>
      <c r="S118" s="14" t="s">
        <v>65</v>
      </c>
    </row>
    <row r="119" spans="1:19" x14ac:dyDescent="0.3">
      <c r="A119" s="10" t="s">
        <v>943</v>
      </c>
      <c r="B119" s="10" t="s">
        <v>944</v>
      </c>
      <c r="C119" s="14" t="s">
        <v>65</v>
      </c>
      <c r="D119" s="14" t="s">
        <v>65</v>
      </c>
      <c r="E119" s="14" t="s">
        <v>65</v>
      </c>
      <c r="F119" s="14" t="s">
        <v>65</v>
      </c>
      <c r="G119" s="14" t="s">
        <v>65</v>
      </c>
      <c r="H119" s="14">
        <v>75</v>
      </c>
      <c r="I119" s="14" t="s">
        <v>65</v>
      </c>
      <c r="J119" s="14">
        <v>80.400000000000006</v>
      </c>
      <c r="K119" s="14">
        <v>74</v>
      </c>
      <c r="L119" s="14">
        <v>69</v>
      </c>
      <c r="M119" s="14">
        <v>76</v>
      </c>
      <c r="N119" s="14">
        <v>58</v>
      </c>
      <c r="O119" s="14">
        <v>61</v>
      </c>
      <c r="P119" s="14">
        <v>21</v>
      </c>
      <c r="Q119" s="14">
        <v>22</v>
      </c>
      <c r="R119" s="14">
        <v>67</v>
      </c>
      <c r="S119" s="14" t="s">
        <v>65</v>
      </c>
    </row>
    <row r="120" spans="1:19" x14ac:dyDescent="0.3">
      <c r="A120" s="10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</row>
    <row r="121" spans="1:19" x14ac:dyDescent="0.3">
      <c r="A121" s="10" t="s">
        <v>945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</row>
    <row r="122" spans="1:19" x14ac:dyDescent="0.3">
      <c r="A122" s="10" t="s">
        <v>946</v>
      </c>
      <c r="B122" s="10" t="s">
        <v>947</v>
      </c>
      <c r="C122" s="12" t="s">
        <v>78</v>
      </c>
      <c r="D122" s="12" t="s">
        <v>78</v>
      </c>
      <c r="E122" s="12" t="s">
        <v>78</v>
      </c>
      <c r="F122" s="12" t="s">
        <v>78</v>
      </c>
      <c r="G122" s="12" t="s">
        <v>78</v>
      </c>
      <c r="H122" s="12" t="s">
        <v>78</v>
      </c>
      <c r="I122" s="12" t="s">
        <v>78</v>
      </c>
      <c r="J122" s="12" t="s">
        <v>78</v>
      </c>
      <c r="K122" s="12" t="s">
        <v>78</v>
      </c>
      <c r="L122" s="12" t="s">
        <v>78</v>
      </c>
      <c r="M122" s="12" t="s">
        <v>78</v>
      </c>
      <c r="N122" s="12" t="s">
        <v>78</v>
      </c>
      <c r="O122" s="12" t="s">
        <v>78</v>
      </c>
      <c r="P122" s="12" t="s">
        <v>78</v>
      </c>
      <c r="Q122" s="12" t="s">
        <v>78</v>
      </c>
      <c r="R122" s="12" t="s">
        <v>78</v>
      </c>
      <c r="S122" s="12" t="s">
        <v>622</v>
      </c>
    </row>
    <row r="123" spans="1:19" x14ac:dyDescent="0.3">
      <c r="A123" s="10" t="s">
        <v>642</v>
      </c>
      <c r="B123" s="10" t="s">
        <v>643</v>
      </c>
      <c r="C123" s="12" t="s">
        <v>78</v>
      </c>
      <c r="D123" s="12" t="s">
        <v>78</v>
      </c>
      <c r="E123" s="12" t="s">
        <v>78</v>
      </c>
      <c r="F123" s="12" t="s">
        <v>79</v>
      </c>
      <c r="G123" s="12" t="s">
        <v>79</v>
      </c>
      <c r="H123" s="12" t="s">
        <v>79</v>
      </c>
      <c r="I123" s="12" t="s">
        <v>79</v>
      </c>
      <c r="J123" s="12" t="s">
        <v>79</v>
      </c>
      <c r="K123" s="12" t="s">
        <v>79</v>
      </c>
      <c r="L123" s="12" t="s">
        <v>79</v>
      </c>
      <c r="M123" s="12" t="s">
        <v>79</v>
      </c>
      <c r="N123" s="12" t="s">
        <v>79</v>
      </c>
      <c r="O123" s="12" t="s">
        <v>79</v>
      </c>
      <c r="P123" s="12" t="s">
        <v>79</v>
      </c>
      <c r="Q123" s="12" t="s">
        <v>79</v>
      </c>
      <c r="R123" s="12" t="s">
        <v>79</v>
      </c>
      <c r="S123" s="12" t="s">
        <v>622</v>
      </c>
    </row>
    <row r="124" spans="1:19" x14ac:dyDescent="0.3">
      <c r="A124" s="10" t="s">
        <v>618</v>
      </c>
      <c r="B124" s="10" t="s">
        <v>619</v>
      </c>
      <c r="C124" s="12" t="s">
        <v>78</v>
      </c>
      <c r="D124" s="12" t="s">
        <v>78</v>
      </c>
      <c r="E124" s="12" t="s">
        <v>79</v>
      </c>
      <c r="F124" s="12" t="s">
        <v>79</v>
      </c>
      <c r="G124" s="12" t="s">
        <v>79</v>
      </c>
      <c r="H124" s="12" t="s">
        <v>79</v>
      </c>
      <c r="I124" s="12" t="s">
        <v>79</v>
      </c>
      <c r="J124" s="12" t="s">
        <v>79</v>
      </c>
      <c r="K124" s="12" t="s">
        <v>79</v>
      </c>
      <c r="L124" s="12" t="s">
        <v>79</v>
      </c>
      <c r="M124" s="12" t="s">
        <v>79</v>
      </c>
      <c r="N124" s="12" t="s">
        <v>79</v>
      </c>
      <c r="O124" s="12" t="s">
        <v>79</v>
      </c>
      <c r="P124" s="12" t="s">
        <v>79</v>
      </c>
      <c r="Q124" s="12" t="s">
        <v>79</v>
      </c>
      <c r="R124" s="12" t="s">
        <v>79</v>
      </c>
      <c r="S124" s="12" t="s">
        <v>79</v>
      </c>
    </row>
    <row r="125" spans="1:19" x14ac:dyDescent="0.3">
      <c r="A125" s="10" t="s">
        <v>670</v>
      </c>
      <c r="B125" s="10" t="s">
        <v>671</v>
      </c>
      <c r="C125" s="12" t="s">
        <v>78</v>
      </c>
      <c r="D125" s="12" t="s">
        <v>78</v>
      </c>
      <c r="E125" s="12" t="s">
        <v>78</v>
      </c>
      <c r="F125" s="12" t="s">
        <v>78</v>
      </c>
      <c r="G125" s="12" t="s">
        <v>78</v>
      </c>
      <c r="H125" s="12" t="s">
        <v>79</v>
      </c>
      <c r="I125" s="12" t="s">
        <v>79</v>
      </c>
      <c r="J125" s="12" t="s">
        <v>79</v>
      </c>
      <c r="K125" s="12" t="s">
        <v>79</v>
      </c>
      <c r="L125" s="12" t="s">
        <v>79</v>
      </c>
      <c r="M125" s="12" t="s">
        <v>79</v>
      </c>
      <c r="N125" s="12" t="s">
        <v>79</v>
      </c>
      <c r="O125" s="12" t="s">
        <v>79</v>
      </c>
      <c r="P125" s="12" t="s">
        <v>79</v>
      </c>
      <c r="Q125" s="12" t="s">
        <v>79</v>
      </c>
      <c r="R125" s="12" t="s">
        <v>79</v>
      </c>
      <c r="S125" s="12" t="s">
        <v>622</v>
      </c>
    </row>
    <row r="126" spans="1:19" x14ac:dyDescent="0.3">
      <c r="A126" s="10" t="s">
        <v>948</v>
      </c>
      <c r="B126" s="10" t="s">
        <v>949</v>
      </c>
      <c r="C126" s="12" t="s">
        <v>79</v>
      </c>
      <c r="D126" s="12" t="s">
        <v>79</v>
      </c>
      <c r="E126" s="12" t="s">
        <v>79</v>
      </c>
      <c r="F126" s="12" t="s">
        <v>79</v>
      </c>
      <c r="G126" s="12" t="s">
        <v>79</v>
      </c>
      <c r="H126" s="12" t="s">
        <v>79</v>
      </c>
      <c r="I126" s="12" t="s">
        <v>79</v>
      </c>
      <c r="J126" s="12" t="s">
        <v>79</v>
      </c>
      <c r="K126" s="12" t="s">
        <v>79</v>
      </c>
      <c r="L126" s="12" t="s">
        <v>79</v>
      </c>
      <c r="M126" s="12" t="s">
        <v>79</v>
      </c>
      <c r="N126" s="12" t="s">
        <v>79</v>
      </c>
      <c r="O126" s="12" t="s">
        <v>79</v>
      </c>
      <c r="P126" s="12" t="s">
        <v>79</v>
      </c>
      <c r="Q126" s="12" t="s">
        <v>79</v>
      </c>
      <c r="R126" s="12" t="s">
        <v>79</v>
      </c>
      <c r="S126" s="12" t="s">
        <v>622</v>
      </c>
    </row>
    <row r="127" spans="1:19" x14ac:dyDescent="0.3">
      <c r="A127" s="10" t="s">
        <v>950</v>
      </c>
      <c r="B127" s="10" t="s">
        <v>951</v>
      </c>
      <c r="C127" s="12" t="s">
        <v>78</v>
      </c>
      <c r="D127" s="12" t="s">
        <v>78</v>
      </c>
      <c r="E127" s="12" t="s">
        <v>78</v>
      </c>
      <c r="F127" s="12" t="s">
        <v>78</v>
      </c>
      <c r="G127" s="12" t="s">
        <v>78</v>
      </c>
      <c r="H127" s="12" t="s">
        <v>78</v>
      </c>
      <c r="I127" s="12" t="s">
        <v>78</v>
      </c>
      <c r="J127" s="12" t="s">
        <v>78</v>
      </c>
      <c r="K127" s="12" t="s">
        <v>78</v>
      </c>
      <c r="L127" s="12" t="s">
        <v>78</v>
      </c>
      <c r="M127" s="12" t="s">
        <v>78</v>
      </c>
      <c r="N127" s="12" t="s">
        <v>78</v>
      </c>
      <c r="O127" s="12" t="s">
        <v>78</v>
      </c>
      <c r="P127" s="12" t="s">
        <v>78</v>
      </c>
      <c r="Q127" s="12" t="s">
        <v>78</v>
      </c>
      <c r="R127" s="12" t="s">
        <v>78</v>
      </c>
      <c r="S127" s="12" t="s">
        <v>622</v>
      </c>
    </row>
    <row r="128" spans="1:19" x14ac:dyDescent="0.3">
      <c r="A128" s="10" t="s">
        <v>952</v>
      </c>
      <c r="B128" s="10" t="s">
        <v>953</v>
      </c>
      <c r="C128" s="12" t="s">
        <v>78</v>
      </c>
      <c r="D128" s="12" t="s">
        <v>78</v>
      </c>
      <c r="E128" s="12" t="s">
        <v>78</v>
      </c>
      <c r="F128" s="12" t="s">
        <v>78</v>
      </c>
      <c r="G128" s="12" t="s">
        <v>78</v>
      </c>
      <c r="H128" s="12" t="s">
        <v>79</v>
      </c>
      <c r="I128" s="12" t="s">
        <v>79</v>
      </c>
      <c r="J128" s="12" t="s">
        <v>79</v>
      </c>
      <c r="K128" s="12" t="s">
        <v>79</v>
      </c>
      <c r="L128" s="12" t="s">
        <v>79</v>
      </c>
      <c r="M128" s="12" t="s">
        <v>79</v>
      </c>
      <c r="N128" s="12" t="s">
        <v>79</v>
      </c>
      <c r="O128" s="12" t="s">
        <v>79</v>
      </c>
      <c r="P128" s="12" t="s">
        <v>79</v>
      </c>
      <c r="Q128" s="12" t="s">
        <v>79</v>
      </c>
      <c r="R128" s="12" t="s">
        <v>79</v>
      </c>
      <c r="S128" s="12" t="s">
        <v>622</v>
      </c>
    </row>
    <row r="129" spans="1:19" x14ac:dyDescent="0.3">
      <c r="A129" s="10" t="s">
        <v>659</v>
      </c>
      <c r="B129" s="10" t="s">
        <v>660</v>
      </c>
      <c r="C129" s="12" t="s">
        <v>78</v>
      </c>
      <c r="D129" s="12" t="s">
        <v>79</v>
      </c>
      <c r="E129" s="12" t="s">
        <v>79</v>
      </c>
      <c r="F129" s="12" t="s">
        <v>79</v>
      </c>
      <c r="G129" s="12" t="s">
        <v>79</v>
      </c>
      <c r="H129" s="12" t="s">
        <v>79</v>
      </c>
      <c r="I129" s="12" t="s">
        <v>79</v>
      </c>
      <c r="J129" s="12" t="s">
        <v>79</v>
      </c>
      <c r="K129" s="12" t="s">
        <v>79</v>
      </c>
      <c r="L129" s="12" t="s">
        <v>79</v>
      </c>
      <c r="M129" s="12" t="s">
        <v>79</v>
      </c>
      <c r="N129" s="12" t="s">
        <v>79</v>
      </c>
      <c r="O129" s="12" t="s">
        <v>79</v>
      </c>
      <c r="P129" s="12" t="s">
        <v>79</v>
      </c>
      <c r="Q129" s="12" t="s">
        <v>79</v>
      </c>
      <c r="R129" s="12" t="s">
        <v>79</v>
      </c>
      <c r="S129" s="12" t="s">
        <v>79</v>
      </c>
    </row>
    <row r="130" spans="1:19" x14ac:dyDescent="0.3">
      <c r="A130" s="10" t="s">
        <v>673</v>
      </c>
      <c r="B130" s="10" t="s">
        <v>674</v>
      </c>
      <c r="C130" s="12" t="s">
        <v>78</v>
      </c>
      <c r="D130" s="12" t="s">
        <v>78</v>
      </c>
      <c r="E130" s="12" t="s">
        <v>78</v>
      </c>
      <c r="F130" s="12" t="s">
        <v>79</v>
      </c>
      <c r="G130" s="12" t="s">
        <v>79</v>
      </c>
      <c r="H130" s="12" t="s">
        <v>79</v>
      </c>
      <c r="I130" s="12" t="s">
        <v>79</v>
      </c>
      <c r="J130" s="12" t="s">
        <v>79</v>
      </c>
      <c r="K130" s="12" t="s">
        <v>79</v>
      </c>
      <c r="L130" s="12" t="s">
        <v>79</v>
      </c>
      <c r="M130" s="12" t="s">
        <v>79</v>
      </c>
      <c r="N130" s="12" t="s">
        <v>79</v>
      </c>
      <c r="O130" s="12" t="s">
        <v>79</v>
      </c>
      <c r="P130" s="12" t="s">
        <v>79</v>
      </c>
      <c r="Q130" s="12" t="s">
        <v>79</v>
      </c>
      <c r="R130" s="12" t="s">
        <v>79</v>
      </c>
      <c r="S130" s="12" t="s">
        <v>622</v>
      </c>
    </row>
    <row r="131" spans="1:19" x14ac:dyDescent="0.3">
      <c r="A131" s="10" t="s">
        <v>682</v>
      </c>
      <c r="B131" s="10" t="s">
        <v>683</v>
      </c>
      <c r="C131" s="12" t="s">
        <v>78</v>
      </c>
      <c r="D131" s="12" t="s">
        <v>78</v>
      </c>
      <c r="E131" s="12" t="s">
        <v>78</v>
      </c>
      <c r="F131" s="12" t="s">
        <v>78</v>
      </c>
      <c r="G131" s="12" t="s">
        <v>78</v>
      </c>
      <c r="H131" s="12" t="s">
        <v>78</v>
      </c>
      <c r="I131" s="12" t="s">
        <v>78</v>
      </c>
      <c r="J131" s="12" t="s">
        <v>78</v>
      </c>
      <c r="K131" s="12" t="s">
        <v>78</v>
      </c>
      <c r="L131" s="12" t="s">
        <v>78</v>
      </c>
      <c r="M131" s="12" t="s">
        <v>78</v>
      </c>
      <c r="N131" s="12" t="s">
        <v>78</v>
      </c>
      <c r="O131" s="12" t="s">
        <v>78</v>
      </c>
      <c r="P131" s="12" t="s">
        <v>78</v>
      </c>
      <c r="Q131" s="12" t="s">
        <v>78</v>
      </c>
      <c r="R131" s="12" t="s">
        <v>78</v>
      </c>
      <c r="S131" s="12" t="s">
        <v>622</v>
      </c>
    </row>
    <row r="132" spans="1:19" x14ac:dyDescent="0.3">
      <c r="A132" s="10" t="s">
        <v>623</v>
      </c>
      <c r="B132" s="10" t="s">
        <v>624</v>
      </c>
      <c r="C132" s="12" t="s">
        <v>78</v>
      </c>
      <c r="D132" s="12" t="s">
        <v>78</v>
      </c>
      <c r="E132" s="12" t="s">
        <v>78</v>
      </c>
      <c r="F132" s="12" t="s">
        <v>78</v>
      </c>
      <c r="G132" s="12" t="s">
        <v>78</v>
      </c>
      <c r="H132" s="12" t="s">
        <v>79</v>
      </c>
      <c r="I132" s="12" t="s">
        <v>79</v>
      </c>
      <c r="J132" s="12" t="s">
        <v>78</v>
      </c>
      <c r="K132" s="12" t="s">
        <v>78</v>
      </c>
      <c r="L132" s="12" t="s">
        <v>78</v>
      </c>
      <c r="M132" s="12" t="s">
        <v>78</v>
      </c>
      <c r="N132" s="12" t="s">
        <v>78</v>
      </c>
      <c r="O132" s="12" t="s">
        <v>79</v>
      </c>
      <c r="P132" s="12" t="s">
        <v>79</v>
      </c>
      <c r="Q132" s="12" t="s">
        <v>79</v>
      </c>
      <c r="R132" s="12" t="s">
        <v>79</v>
      </c>
      <c r="S132" s="12" t="s">
        <v>79</v>
      </c>
    </row>
    <row r="133" spans="1:19" x14ac:dyDescent="0.3">
      <c r="A133" s="10" t="s">
        <v>954</v>
      </c>
      <c r="B133" s="10" t="s">
        <v>955</v>
      </c>
      <c r="C133" s="12" t="s">
        <v>78</v>
      </c>
      <c r="D133" s="12" t="s">
        <v>78</v>
      </c>
      <c r="E133" s="12" t="s">
        <v>78</v>
      </c>
      <c r="F133" s="12" t="s">
        <v>78</v>
      </c>
      <c r="G133" s="12" t="s">
        <v>78</v>
      </c>
      <c r="H133" s="12" t="s">
        <v>78</v>
      </c>
      <c r="I133" s="12" t="s">
        <v>78</v>
      </c>
      <c r="J133" s="12" t="s">
        <v>78</v>
      </c>
      <c r="K133" s="12" t="s">
        <v>78</v>
      </c>
      <c r="L133" s="12" t="s">
        <v>78</v>
      </c>
      <c r="M133" s="12" t="s">
        <v>78</v>
      </c>
      <c r="N133" s="12" t="s">
        <v>78</v>
      </c>
      <c r="O133" s="12" t="s">
        <v>78</v>
      </c>
      <c r="P133" s="12" t="s">
        <v>78</v>
      </c>
      <c r="Q133" s="12" t="s">
        <v>78</v>
      </c>
      <c r="R133" s="12" t="s">
        <v>78</v>
      </c>
      <c r="S133" s="12" t="s">
        <v>622</v>
      </c>
    </row>
    <row r="134" spans="1:19" x14ac:dyDescent="0.3">
      <c r="A134" s="10" t="s">
        <v>625</v>
      </c>
      <c r="B134" s="10" t="s">
        <v>626</v>
      </c>
      <c r="C134" s="12" t="s">
        <v>78</v>
      </c>
      <c r="D134" s="12" t="s">
        <v>78</v>
      </c>
      <c r="E134" s="12" t="s">
        <v>78</v>
      </c>
      <c r="F134" s="12" t="s">
        <v>78</v>
      </c>
      <c r="G134" s="12" t="s">
        <v>78</v>
      </c>
      <c r="H134" s="12" t="s">
        <v>78</v>
      </c>
      <c r="I134" s="12" t="s">
        <v>78</v>
      </c>
      <c r="J134" s="12" t="s">
        <v>78</v>
      </c>
      <c r="K134" s="12" t="s">
        <v>78</v>
      </c>
      <c r="L134" s="12" t="s">
        <v>78</v>
      </c>
      <c r="M134" s="12" t="s">
        <v>78</v>
      </c>
      <c r="N134" s="12" t="s">
        <v>78</v>
      </c>
      <c r="O134" s="12" t="s">
        <v>78</v>
      </c>
      <c r="P134" s="12" t="s">
        <v>78</v>
      </c>
      <c r="Q134" s="12" t="s">
        <v>78</v>
      </c>
      <c r="R134" s="12" t="s">
        <v>78</v>
      </c>
      <c r="S134" s="12" t="s">
        <v>78</v>
      </c>
    </row>
    <row r="135" spans="1:19" x14ac:dyDescent="0.3">
      <c r="A135" s="10" t="s">
        <v>627</v>
      </c>
      <c r="B135" s="10" t="s">
        <v>628</v>
      </c>
      <c r="C135" s="12" t="s">
        <v>78</v>
      </c>
      <c r="D135" s="12" t="s">
        <v>78</v>
      </c>
      <c r="E135" s="12" t="s">
        <v>78</v>
      </c>
      <c r="F135" s="12" t="s">
        <v>78</v>
      </c>
      <c r="G135" s="12" t="s">
        <v>78</v>
      </c>
      <c r="H135" s="12" t="s">
        <v>78</v>
      </c>
      <c r="I135" s="12" t="s">
        <v>78</v>
      </c>
      <c r="J135" s="12" t="s">
        <v>78</v>
      </c>
      <c r="K135" s="12" t="s">
        <v>78</v>
      </c>
      <c r="L135" s="12" t="s">
        <v>78</v>
      </c>
      <c r="M135" s="12" t="s">
        <v>78</v>
      </c>
      <c r="N135" s="12" t="s">
        <v>78</v>
      </c>
      <c r="O135" s="12" t="s">
        <v>78</v>
      </c>
      <c r="P135" s="12" t="s">
        <v>79</v>
      </c>
      <c r="Q135" s="12" t="s">
        <v>79</v>
      </c>
      <c r="R135" s="12" t="s">
        <v>79</v>
      </c>
      <c r="S135" s="12" t="s">
        <v>79</v>
      </c>
    </row>
    <row r="136" spans="1:19" x14ac:dyDescent="0.3">
      <c r="A136" s="10" t="s">
        <v>956</v>
      </c>
      <c r="B136" s="10" t="s">
        <v>957</v>
      </c>
      <c r="C136" s="12" t="s">
        <v>622</v>
      </c>
      <c r="D136" s="12" t="s">
        <v>622</v>
      </c>
      <c r="E136" s="12" t="s">
        <v>622</v>
      </c>
      <c r="F136" s="12" t="s">
        <v>622</v>
      </c>
      <c r="G136" s="12" t="s">
        <v>622</v>
      </c>
      <c r="H136" s="12" t="s">
        <v>622</v>
      </c>
      <c r="I136" s="12" t="s">
        <v>622</v>
      </c>
      <c r="J136" s="12" t="s">
        <v>78</v>
      </c>
      <c r="K136" s="12" t="s">
        <v>78</v>
      </c>
      <c r="L136" s="12" t="s">
        <v>78</v>
      </c>
      <c r="M136" s="12" t="s">
        <v>78</v>
      </c>
      <c r="N136" s="12" t="s">
        <v>78</v>
      </c>
      <c r="O136" s="12" t="s">
        <v>78</v>
      </c>
      <c r="P136" s="12" t="s">
        <v>79</v>
      </c>
      <c r="Q136" s="12" t="s">
        <v>79</v>
      </c>
      <c r="R136" s="12" t="s">
        <v>79</v>
      </c>
      <c r="S136" s="12" t="s">
        <v>622</v>
      </c>
    </row>
    <row r="137" spans="1:19" x14ac:dyDescent="0.3">
      <c r="A137" s="10" t="s">
        <v>958</v>
      </c>
      <c r="B137" s="10" t="s">
        <v>959</v>
      </c>
      <c r="C137" s="12" t="s">
        <v>622</v>
      </c>
      <c r="D137" s="12" t="s">
        <v>622</v>
      </c>
      <c r="E137" s="12" t="s">
        <v>622</v>
      </c>
      <c r="F137" s="12" t="s">
        <v>622</v>
      </c>
      <c r="G137" s="12" t="s">
        <v>622</v>
      </c>
      <c r="H137" s="12" t="s">
        <v>622</v>
      </c>
      <c r="I137" s="12" t="s">
        <v>622</v>
      </c>
      <c r="J137" s="12" t="s">
        <v>78</v>
      </c>
      <c r="K137" s="12" t="s">
        <v>78</v>
      </c>
      <c r="L137" s="12" t="s">
        <v>78</v>
      </c>
      <c r="M137" s="12" t="s">
        <v>78</v>
      </c>
      <c r="N137" s="12" t="s">
        <v>79</v>
      </c>
      <c r="O137" s="12" t="s">
        <v>79</v>
      </c>
      <c r="P137" s="12" t="s">
        <v>79</v>
      </c>
      <c r="Q137" s="12" t="s">
        <v>79</v>
      </c>
      <c r="R137" s="12" t="s">
        <v>79</v>
      </c>
      <c r="S137" s="12" t="s">
        <v>622</v>
      </c>
    </row>
    <row r="138" spans="1:19" x14ac:dyDescent="0.3">
      <c r="A138" s="10" t="s">
        <v>960</v>
      </c>
      <c r="B138" s="10" t="s">
        <v>961</v>
      </c>
      <c r="C138" s="12" t="s">
        <v>622</v>
      </c>
      <c r="D138" s="12" t="s">
        <v>622</v>
      </c>
      <c r="E138" s="12" t="s">
        <v>622</v>
      </c>
      <c r="F138" s="12" t="s">
        <v>622</v>
      </c>
      <c r="G138" s="12" t="s">
        <v>622</v>
      </c>
      <c r="H138" s="12" t="s">
        <v>622</v>
      </c>
      <c r="I138" s="12" t="s">
        <v>622</v>
      </c>
      <c r="J138" s="12" t="s">
        <v>622</v>
      </c>
      <c r="K138" s="12" t="s">
        <v>622</v>
      </c>
      <c r="L138" s="12" t="s">
        <v>622</v>
      </c>
      <c r="M138" s="12" t="s">
        <v>622</v>
      </c>
      <c r="N138" s="12" t="s">
        <v>622</v>
      </c>
      <c r="O138" s="12" t="s">
        <v>622</v>
      </c>
      <c r="P138" s="12" t="s">
        <v>622</v>
      </c>
      <c r="Q138" s="12" t="s">
        <v>78</v>
      </c>
      <c r="R138" s="12" t="s">
        <v>78</v>
      </c>
      <c r="S138" s="12" t="s">
        <v>622</v>
      </c>
    </row>
    <row r="139" spans="1:19" x14ac:dyDescent="0.3">
      <c r="A139" s="10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</row>
    <row r="140" spans="1:19" x14ac:dyDescent="0.3">
      <c r="A140" s="10" t="s">
        <v>962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</row>
    <row r="141" spans="1:19" x14ac:dyDescent="0.3">
      <c r="A141" s="10" t="s">
        <v>682</v>
      </c>
      <c r="B141" s="10" t="s">
        <v>683</v>
      </c>
      <c r="C141" s="12" t="s">
        <v>78</v>
      </c>
      <c r="D141" s="12" t="s">
        <v>78</v>
      </c>
      <c r="E141" s="12" t="s">
        <v>78</v>
      </c>
      <c r="F141" s="12" t="s">
        <v>78</v>
      </c>
      <c r="G141" s="12" t="s">
        <v>78</v>
      </c>
      <c r="H141" s="12" t="s">
        <v>78</v>
      </c>
      <c r="I141" s="12" t="s">
        <v>78</v>
      </c>
      <c r="J141" s="12" t="s">
        <v>78</v>
      </c>
      <c r="K141" s="12" t="s">
        <v>78</v>
      </c>
      <c r="L141" s="12" t="s">
        <v>78</v>
      </c>
      <c r="M141" s="12" t="s">
        <v>78</v>
      </c>
      <c r="N141" s="12" t="s">
        <v>78</v>
      </c>
      <c r="O141" s="12" t="s">
        <v>78</v>
      </c>
      <c r="P141" s="12" t="s">
        <v>78</v>
      </c>
      <c r="Q141" s="12" t="s">
        <v>78</v>
      </c>
      <c r="R141" s="12" t="s">
        <v>78</v>
      </c>
      <c r="S141" s="12" t="s">
        <v>622</v>
      </c>
    </row>
    <row r="142" spans="1:19" x14ac:dyDescent="0.3">
      <c r="A142" s="10" t="s">
        <v>684</v>
      </c>
      <c r="B142" s="10" t="s">
        <v>685</v>
      </c>
      <c r="C142" s="12" t="s">
        <v>622</v>
      </c>
      <c r="D142" s="12" t="s">
        <v>622</v>
      </c>
      <c r="E142" s="12" t="s">
        <v>622</v>
      </c>
      <c r="F142" s="12" t="s">
        <v>622</v>
      </c>
      <c r="G142" s="12" t="s">
        <v>622</v>
      </c>
      <c r="H142" s="12" t="s">
        <v>622</v>
      </c>
      <c r="I142" s="12" t="s">
        <v>622</v>
      </c>
      <c r="J142" s="12" t="s">
        <v>622</v>
      </c>
      <c r="K142" s="12" t="s">
        <v>622</v>
      </c>
      <c r="L142" s="12" t="s">
        <v>622</v>
      </c>
      <c r="M142" s="12" t="s">
        <v>622</v>
      </c>
      <c r="N142" s="12" t="s">
        <v>622</v>
      </c>
      <c r="O142" s="12" t="s">
        <v>622</v>
      </c>
      <c r="P142" s="12" t="s">
        <v>78</v>
      </c>
      <c r="Q142" s="12" t="s">
        <v>78</v>
      </c>
      <c r="R142" s="12" t="s">
        <v>78</v>
      </c>
      <c r="S142" s="12" t="s">
        <v>622</v>
      </c>
    </row>
    <row r="143" spans="1:19" x14ac:dyDescent="0.3">
      <c r="A143" s="10" t="s">
        <v>963</v>
      </c>
      <c r="B143" s="10" t="s">
        <v>964</v>
      </c>
      <c r="C143" s="12" t="s">
        <v>622</v>
      </c>
      <c r="D143" s="12" t="s">
        <v>622</v>
      </c>
      <c r="E143" s="12" t="s">
        <v>622</v>
      </c>
      <c r="F143" s="12" t="s">
        <v>622</v>
      </c>
      <c r="G143" s="12" t="s">
        <v>622</v>
      </c>
      <c r="H143" s="12" t="s">
        <v>622</v>
      </c>
      <c r="I143" s="12" t="s">
        <v>622</v>
      </c>
      <c r="J143" s="12" t="s">
        <v>622</v>
      </c>
      <c r="K143" s="12" t="s">
        <v>622</v>
      </c>
      <c r="L143" s="12" t="s">
        <v>622</v>
      </c>
      <c r="M143" s="12" t="s">
        <v>622</v>
      </c>
      <c r="N143" s="12" t="s">
        <v>622</v>
      </c>
      <c r="O143" s="12" t="s">
        <v>622</v>
      </c>
      <c r="P143" s="12" t="s">
        <v>78</v>
      </c>
      <c r="Q143" s="12" t="s">
        <v>78</v>
      </c>
      <c r="R143" s="12" t="s">
        <v>78</v>
      </c>
      <c r="S143" s="12" t="s">
        <v>622</v>
      </c>
    </row>
    <row r="144" spans="1:19" x14ac:dyDescent="0.3">
      <c r="A144" s="10" t="s">
        <v>965</v>
      </c>
      <c r="B144" s="10" t="s">
        <v>966</v>
      </c>
      <c r="C144" s="12" t="s">
        <v>622</v>
      </c>
      <c r="D144" s="12" t="s">
        <v>622</v>
      </c>
      <c r="E144" s="12" t="s">
        <v>622</v>
      </c>
      <c r="F144" s="12" t="s">
        <v>622</v>
      </c>
      <c r="G144" s="12" t="s">
        <v>622</v>
      </c>
      <c r="H144" s="12" t="s">
        <v>622</v>
      </c>
      <c r="I144" s="12" t="s">
        <v>622</v>
      </c>
      <c r="J144" s="12" t="s">
        <v>622</v>
      </c>
      <c r="K144" s="12" t="s">
        <v>622</v>
      </c>
      <c r="L144" s="12" t="s">
        <v>622</v>
      </c>
      <c r="M144" s="12" t="s">
        <v>622</v>
      </c>
      <c r="N144" s="12" t="s">
        <v>622</v>
      </c>
      <c r="O144" s="12" t="s">
        <v>622</v>
      </c>
      <c r="P144" s="12" t="s">
        <v>78</v>
      </c>
      <c r="Q144" s="12" t="s">
        <v>78</v>
      </c>
      <c r="R144" s="12" t="s">
        <v>78</v>
      </c>
      <c r="S144" s="12" t="s">
        <v>622</v>
      </c>
    </row>
    <row r="145" spans="1:19" x14ac:dyDescent="0.3">
      <c r="A145" s="10" t="s">
        <v>967</v>
      </c>
      <c r="B145" s="10" t="s">
        <v>968</v>
      </c>
      <c r="C145" s="12" t="s">
        <v>622</v>
      </c>
      <c r="D145" s="12" t="s">
        <v>622</v>
      </c>
      <c r="E145" s="12" t="s">
        <v>622</v>
      </c>
      <c r="F145" s="12" t="s">
        <v>622</v>
      </c>
      <c r="G145" s="12" t="s">
        <v>622</v>
      </c>
      <c r="H145" s="12" t="s">
        <v>622</v>
      </c>
      <c r="I145" s="12" t="s">
        <v>622</v>
      </c>
      <c r="J145" s="12" t="s">
        <v>622</v>
      </c>
      <c r="K145" s="12" t="s">
        <v>622</v>
      </c>
      <c r="L145" s="12" t="s">
        <v>622</v>
      </c>
      <c r="M145" s="12" t="s">
        <v>622</v>
      </c>
      <c r="N145" s="12" t="s">
        <v>622</v>
      </c>
      <c r="O145" s="12" t="s">
        <v>622</v>
      </c>
      <c r="P145" s="12" t="s">
        <v>78</v>
      </c>
      <c r="Q145" s="12" t="s">
        <v>78</v>
      </c>
      <c r="R145" s="12" t="s">
        <v>78</v>
      </c>
      <c r="S145" s="12" t="s">
        <v>622</v>
      </c>
    </row>
    <row r="146" spans="1:19" x14ac:dyDescent="0.3">
      <c r="A146" s="10" t="s">
        <v>686</v>
      </c>
      <c r="B146" s="10" t="s">
        <v>687</v>
      </c>
      <c r="C146" s="12" t="s">
        <v>622</v>
      </c>
      <c r="D146" s="12" t="s">
        <v>622</v>
      </c>
      <c r="E146" s="12" t="s">
        <v>622</v>
      </c>
      <c r="F146" s="12" t="s">
        <v>622</v>
      </c>
      <c r="G146" s="12" t="s">
        <v>622</v>
      </c>
      <c r="H146" s="12" t="s">
        <v>622</v>
      </c>
      <c r="I146" s="12" t="s">
        <v>622</v>
      </c>
      <c r="J146" s="12" t="s">
        <v>622</v>
      </c>
      <c r="K146" s="12" t="s">
        <v>622</v>
      </c>
      <c r="L146" s="12" t="s">
        <v>622</v>
      </c>
      <c r="M146" s="12" t="s">
        <v>622</v>
      </c>
      <c r="N146" s="12" t="s">
        <v>622</v>
      </c>
      <c r="O146" s="12" t="s">
        <v>622</v>
      </c>
      <c r="P146" s="12" t="s">
        <v>78</v>
      </c>
      <c r="Q146" s="12" t="s">
        <v>78</v>
      </c>
      <c r="R146" s="12" t="s">
        <v>78</v>
      </c>
      <c r="S146" s="12" t="s">
        <v>622</v>
      </c>
    </row>
    <row r="147" spans="1:19" x14ac:dyDescent="0.3">
      <c r="A147" s="10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</row>
    <row r="148" spans="1:19" x14ac:dyDescent="0.3">
      <c r="A148" s="7" t="s">
        <v>90</v>
      </c>
      <c r="B148" s="7"/>
      <c r="C148" s="7" t="s">
        <v>91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13"/>
  <sheetViews>
    <sheetView workbookViewId="0">
      <selection activeCell="Q15" sqref="Q15"/>
    </sheetView>
  </sheetViews>
  <sheetFormatPr defaultRowHeight="14.4" x14ac:dyDescent="0.3"/>
  <cols>
    <col min="1" max="1" width="35.109375" customWidth="1"/>
    <col min="2" max="2" width="0" hidden="1" customWidth="1"/>
    <col min="3" max="19" width="11.88671875" customWidth="1"/>
  </cols>
  <sheetData>
    <row r="1" spans="1:1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" x14ac:dyDescent="0.3">
      <c r="A2" s="8" t="s">
        <v>969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3" t="s">
        <v>1</v>
      </c>
      <c r="B4" s="3"/>
      <c r="C4" s="4" t="s">
        <v>258</v>
      </c>
      <c r="D4" s="4" t="s">
        <v>259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</row>
    <row r="5" spans="1:19" x14ac:dyDescent="0.3">
      <c r="A5" s="9" t="s">
        <v>20</v>
      </c>
      <c r="B5" s="9"/>
      <c r="C5" s="5" t="s">
        <v>261</v>
      </c>
      <c r="D5" s="5" t="s">
        <v>262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31</v>
      </c>
      <c r="P5" s="5" t="s">
        <v>32</v>
      </c>
      <c r="Q5" s="5" t="s">
        <v>33</v>
      </c>
      <c r="R5" s="5" t="s">
        <v>34</v>
      </c>
      <c r="S5" s="5" t="s">
        <v>35</v>
      </c>
    </row>
    <row r="6" spans="1:19" x14ac:dyDescent="0.3">
      <c r="A6" s="10" t="s">
        <v>589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x14ac:dyDescent="0.3">
      <c r="A7" s="10" t="s">
        <v>594</v>
      </c>
      <c r="B7" s="10" t="s">
        <v>595</v>
      </c>
      <c r="C7" s="14" t="s">
        <v>65</v>
      </c>
      <c r="D7" s="14" t="s">
        <v>65</v>
      </c>
      <c r="E7" s="14" t="s">
        <v>65</v>
      </c>
      <c r="F7" s="14" t="s">
        <v>65</v>
      </c>
      <c r="G7" s="14" t="s">
        <v>65</v>
      </c>
      <c r="H7" s="14" t="s">
        <v>65</v>
      </c>
      <c r="I7" s="14" t="s">
        <v>65</v>
      </c>
      <c r="J7" s="14">
        <v>1.54</v>
      </c>
      <c r="K7" s="14">
        <v>1.67</v>
      </c>
      <c r="L7" s="14">
        <v>1.72</v>
      </c>
      <c r="M7" s="14">
        <v>2.44</v>
      </c>
      <c r="N7" s="14">
        <v>2.44</v>
      </c>
      <c r="O7" s="14">
        <v>6.68</v>
      </c>
      <c r="P7" s="14">
        <v>6.26</v>
      </c>
      <c r="Q7" s="14">
        <v>6.31</v>
      </c>
      <c r="R7" s="14" t="s">
        <v>65</v>
      </c>
      <c r="S7" s="14" t="s">
        <v>65</v>
      </c>
    </row>
    <row r="8" spans="1:19" x14ac:dyDescent="0.3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 x14ac:dyDescent="0.3">
      <c r="A9" s="10" t="s">
        <v>598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3">
      <c r="A10" s="10" t="s">
        <v>603</v>
      </c>
      <c r="B10" s="10" t="s">
        <v>604</v>
      </c>
      <c r="C10" s="14">
        <v>5.3506999999999998</v>
      </c>
      <c r="D10" s="14">
        <v>7.2248999999999999</v>
      </c>
      <c r="E10" s="14">
        <v>7.2248999999999999</v>
      </c>
      <c r="F10" s="14">
        <v>7.2248999999999999</v>
      </c>
      <c r="G10" s="14">
        <v>10.006</v>
      </c>
      <c r="H10" s="14">
        <v>21.523599999999998</v>
      </c>
      <c r="I10" s="14">
        <v>24.0931</v>
      </c>
      <c r="J10" s="14">
        <v>24.0931</v>
      </c>
      <c r="K10" s="14">
        <v>28.990300000000001</v>
      </c>
      <c r="L10" s="14">
        <v>32.587699999999998</v>
      </c>
      <c r="M10" s="14">
        <v>41.203099999999999</v>
      </c>
      <c r="N10" s="14">
        <v>41.203099999999999</v>
      </c>
      <c r="O10" s="14">
        <v>41.203099999999999</v>
      </c>
      <c r="P10" s="14">
        <v>42.231000000000002</v>
      </c>
      <c r="Q10" s="14">
        <v>42.231000000000002</v>
      </c>
      <c r="R10" s="14" t="s">
        <v>65</v>
      </c>
      <c r="S10" s="14" t="s">
        <v>65</v>
      </c>
    </row>
    <row r="11" spans="1:19" x14ac:dyDescent="0.3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x14ac:dyDescent="0.3">
      <c r="A12" s="10" t="s">
        <v>970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3">
      <c r="A13" s="6" t="s">
        <v>429</v>
      </c>
      <c r="B13" s="6" t="s">
        <v>741</v>
      </c>
      <c r="C13" s="20">
        <v>38000</v>
      </c>
      <c r="D13" s="20">
        <v>33000</v>
      </c>
      <c r="E13" s="20">
        <v>35000</v>
      </c>
      <c r="F13" s="20">
        <v>31000</v>
      </c>
      <c r="G13" s="20">
        <v>29000</v>
      </c>
      <c r="H13" s="20">
        <v>27000</v>
      </c>
      <c r="I13" s="20">
        <v>25000</v>
      </c>
      <c r="J13" s="20">
        <v>26700</v>
      </c>
      <c r="K13" s="20">
        <v>26400</v>
      </c>
      <c r="L13" s="20">
        <v>25000</v>
      </c>
      <c r="M13" s="20">
        <v>23500</v>
      </c>
      <c r="N13" s="20">
        <v>24600</v>
      </c>
      <c r="O13" s="20">
        <v>20550</v>
      </c>
      <c r="P13" s="20">
        <v>20723</v>
      </c>
      <c r="Q13" s="20">
        <v>26324</v>
      </c>
      <c r="R13" s="20">
        <v>26554</v>
      </c>
      <c r="S13" s="20">
        <v>26865</v>
      </c>
    </row>
    <row r="14" spans="1:19" x14ac:dyDescent="0.3">
      <c r="A14" s="10" t="s">
        <v>971</v>
      </c>
      <c r="B14" s="10" t="s">
        <v>972</v>
      </c>
      <c r="C14" s="14" t="s">
        <v>65</v>
      </c>
      <c r="D14" s="14" t="s">
        <v>65</v>
      </c>
      <c r="E14" s="14">
        <v>7600</v>
      </c>
      <c r="F14" s="14">
        <v>7300</v>
      </c>
      <c r="G14" s="14">
        <v>5900</v>
      </c>
      <c r="H14" s="14">
        <v>4050</v>
      </c>
      <c r="I14" s="14">
        <v>4200</v>
      </c>
      <c r="J14" s="14">
        <v>3700</v>
      </c>
      <c r="K14" s="14">
        <v>3900</v>
      </c>
      <c r="L14" s="14">
        <v>4100</v>
      </c>
      <c r="M14" s="14">
        <v>5100</v>
      </c>
      <c r="N14" s="14" t="s">
        <v>65</v>
      </c>
      <c r="O14" s="14">
        <v>1102</v>
      </c>
      <c r="P14" s="14">
        <v>1148</v>
      </c>
      <c r="Q14" s="14">
        <v>1191</v>
      </c>
      <c r="R14" s="14">
        <v>3477</v>
      </c>
      <c r="S14" s="14">
        <v>4951</v>
      </c>
    </row>
    <row r="15" spans="1:19" x14ac:dyDescent="0.3">
      <c r="A15" s="10" t="s">
        <v>742</v>
      </c>
      <c r="B15" s="10" t="s">
        <v>743</v>
      </c>
      <c r="C15" s="14" t="s">
        <v>65</v>
      </c>
      <c r="D15" s="14" t="s">
        <v>65</v>
      </c>
      <c r="E15" s="14" t="s">
        <v>65</v>
      </c>
      <c r="F15" s="14" t="s">
        <v>65</v>
      </c>
      <c r="G15" s="14" t="s">
        <v>65</v>
      </c>
      <c r="H15" s="14" t="s">
        <v>65</v>
      </c>
      <c r="I15" s="14" t="s">
        <v>65</v>
      </c>
      <c r="J15" s="14" t="s">
        <v>65</v>
      </c>
      <c r="K15" s="14" t="s">
        <v>65</v>
      </c>
      <c r="L15" s="14">
        <v>2400</v>
      </c>
      <c r="M15" s="14">
        <v>1700</v>
      </c>
      <c r="N15" s="14">
        <v>1852</v>
      </c>
      <c r="O15" s="14">
        <v>1222</v>
      </c>
      <c r="P15" s="14">
        <v>1157</v>
      </c>
      <c r="Q15" s="14">
        <v>2056</v>
      </c>
      <c r="R15" s="14">
        <v>1187</v>
      </c>
      <c r="S15" s="14" t="s">
        <v>65</v>
      </c>
    </row>
    <row r="16" spans="1:19" x14ac:dyDescent="0.3">
      <c r="A16" s="10" t="s">
        <v>744</v>
      </c>
      <c r="B16" s="10" t="s">
        <v>745</v>
      </c>
      <c r="C16" s="14" t="s">
        <v>65</v>
      </c>
      <c r="D16" s="14" t="s">
        <v>65</v>
      </c>
      <c r="E16" s="14" t="s">
        <v>65</v>
      </c>
      <c r="F16" s="14" t="s">
        <v>65</v>
      </c>
      <c r="G16" s="14" t="s">
        <v>65</v>
      </c>
      <c r="H16" s="14" t="s">
        <v>65</v>
      </c>
      <c r="I16" s="14">
        <v>35</v>
      </c>
      <c r="J16" s="14">
        <v>30</v>
      </c>
      <c r="K16" s="14">
        <v>28</v>
      </c>
      <c r="L16" s="14">
        <v>27</v>
      </c>
      <c r="M16" s="14">
        <v>28</v>
      </c>
      <c r="N16" s="14">
        <v>42</v>
      </c>
      <c r="O16" s="14">
        <v>34</v>
      </c>
      <c r="P16" s="14">
        <v>25</v>
      </c>
      <c r="Q16" s="14">
        <v>31</v>
      </c>
      <c r="R16" s="14">
        <v>31</v>
      </c>
      <c r="S16" s="14" t="s">
        <v>65</v>
      </c>
    </row>
    <row r="17" spans="1:19" x14ac:dyDescent="0.3">
      <c r="A17" s="10" t="s">
        <v>973</v>
      </c>
      <c r="B17" s="10" t="s">
        <v>974</v>
      </c>
      <c r="C17" s="14" t="s">
        <v>65</v>
      </c>
      <c r="D17" s="14" t="s">
        <v>65</v>
      </c>
      <c r="E17" s="14" t="s">
        <v>65</v>
      </c>
      <c r="F17" s="14" t="s">
        <v>65</v>
      </c>
      <c r="G17" s="14" t="s">
        <v>65</v>
      </c>
      <c r="H17" s="14" t="s">
        <v>65</v>
      </c>
      <c r="I17" s="14" t="s">
        <v>65</v>
      </c>
      <c r="J17" s="14" t="s">
        <v>65</v>
      </c>
      <c r="K17" s="14" t="s">
        <v>65</v>
      </c>
      <c r="L17" s="14" t="s">
        <v>65</v>
      </c>
      <c r="M17" s="14" t="s">
        <v>65</v>
      </c>
      <c r="N17" s="14">
        <v>22</v>
      </c>
      <c r="O17" s="14">
        <v>18</v>
      </c>
      <c r="P17" s="14">
        <v>17</v>
      </c>
      <c r="Q17" s="14">
        <v>22.7</v>
      </c>
      <c r="R17" s="14">
        <v>31</v>
      </c>
      <c r="S17" s="14" t="s">
        <v>65</v>
      </c>
    </row>
    <row r="18" spans="1:19" x14ac:dyDescent="0.3">
      <c r="A18" s="10" t="s">
        <v>975</v>
      </c>
      <c r="B18" s="10" t="s">
        <v>976</v>
      </c>
      <c r="C18" s="14" t="s">
        <v>65</v>
      </c>
      <c r="D18" s="14" t="s">
        <v>65</v>
      </c>
      <c r="E18" s="14" t="s">
        <v>65</v>
      </c>
      <c r="F18" s="14" t="s">
        <v>65</v>
      </c>
      <c r="G18" s="14" t="s">
        <v>65</v>
      </c>
      <c r="H18" s="14" t="s">
        <v>65</v>
      </c>
      <c r="I18" s="14" t="s">
        <v>65</v>
      </c>
      <c r="J18" s="14" t="s">
        <v>65</v>
      </c>
      <c r="K18" s="14" t="s">
        <v>65</v>
      </c>
      <c r="L18" s="14" t="s">
        <v>65</v>
      </c>
      <c r="M18" s="14" t="s">
        <v>65</v>
      </c>
      <c r="N18" s="14">
        <v>20</v>
      </c>
      <c r="O18" s="14">
        <v>16</v>
      </c>
      <c r="P18" s="14">
        <v>8</v>
      </c>
      <c r="Q18" s="14">
        <v>8.3000000000000007</v>
      </c>
      <c r="R18" s="14">
        <v>0</v>
      </c>
      <c r="S18" s="14" t="s">
        <v>65</v>
      </c>
    </row>
    <row r="19" spans="1:19" x14ac:dyDescent="0.3">
      <c r="A19" s="10" t="s">
        <v>746</v>
      </c>
      <c r="B19" s="10" t="s">
        <v>747</v>
      </c>
      <c r="C19" s="14" t="s">
        <v>65</v>
      </c>
      <c r="D19" s="14" t="s">
        <v>65</v>
      </c>
      <c r="E19" s="14" t="s">
        <v>65</v>
      </c>
      <c r="F19" s="14" t="s">
        <v>65</v>
      </c>
      <c r="G19" s="14" t="s">
        <v>65</v>
      </c>
      <c r="H19" s="14">
        <v>31.6</v>
      </c>
      <c r="I19" s="14">
        <v>30</v>
      </c>
      <c r="J19" s="14">
        <v>16</v>
      </c>
      <c r="K19" s="14">
        <v>17</v>
      </c>
      <c r="L19" s="14">
        <v>21</v>
      </c>
      <c r="M19" s="14">
        <v>25</v>
      </c>
      <c r="N19" s="14">
        <v>18.5</v>
      </c>
      <c r="O19" s="14">
        <v>18.8</v>
      </c>
      <c r="P19" s="14">
        <v>17.190000000000001</v>
      </c>
      <c r="Q19" s="14">
        <v>19.5</v>
      </c>
      <c r="R19" s="14">
        <v>20</v>
      </c>
      <c r="S19" s="14" t="s">
        <v>65</v>
      </c>
    </row>
    <row r="20" spans="1:19" x14ac:dyDescent="0.3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</row>
    <row r="21" spans="1:19" x14ac:dyDescent="0.3">
      <c r="A21" s="10" t="s">
        <v>977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x14ac:dyDescent="0.3">
      <c r="A22" s="10" t="s">
        <v>978</v>
      </c>
      <c r="B22" s="10" t="s">
        <v>979</v>
      </c>
      <c r="C22" s="12" t="s">
        <v>622</v>
      </c>
      <c r="D22" s="12" t="s">
        <v>622</v>
      </c>
      <c r="E22" s="12" t="s">
        <v>622</v>
      </c>
      <c r="F22" s="12" t="s">
        <v>622</v>
      </c>
      <c r="G22" s="12" t="s">
        <v>622</v>
      </c>
      <c r="H22" s="12" t="s">
        <v>622</v>
      </c>
      <c r="I22" s="12" t="s">
        <v>622</v>
      </c>
      <c r="J22" s="12" t="s">
        <v>622</v>
      </c>
      <c r="K22" s="12" t="s">
        <v>622</v>
      </c>
      <c r="L22" s="12" t="s">
        <v>622</v>
      </c>
      <c r="M22" s="12" t="s">
        <v>622</v>
      </c>
      <c r="N22" s="12" t="s">
        <v>622</v>
      </c>
      <c r="O22" s="12" t="s">
        <v>622</v>
      </c>
      <c r="P22" s="12" t="s">
        <v>622</v>
      </c>
      <c r="Q22" s="12" t="s">
        <v>622</v>
      </c>
      <c r="R22" s="12" t="s">
        <v>78</v>
      </c>
      <c r="S22" s="12" t="s">
        <v>622</v>
      </c>
    </row>
    <row r="23" spans="1:19" x14ac:dyDescent="0.3">
      <c r="A23" s="10" t="s">
        <v>980</v>
      </c>
      <c r="B23" s="10" t="s">
        <v>708</v>
      </c>
      <c r="C23" s="14" t="s">
        <v>65</v>
      </c>
      <c r="D23" s="14" t="s">
        <v>65</v>
      </c>
      <c r="E23" s="14" t="s">
        <v>65</v>
      </c>
      <c r="F23" s="14" t="s">
        <v>65</v>
      </c>
      <c r="G23" s="14" t="s">
        <v>65</v>
      </c>
      <c r="H23" s="14">
        <v>19</v>
      </c>
      <c r="I23" s="14">
        <v>19</v>
      </c>
      <c r="J23" s="14">
        <v>21</v>
      </c>
      <c r="K23" s="14" t="s">
        <v>65</v>
      </c>
      <c r="L23" s="14" t="s">
        <v>65</v>
      </c>
      <c r="M23" s="14" t="s">
        <v>65</v>
      </c>
      <c r="N23" s="14" t="s">
        <v>65</v>
      </c>
      <c r="O23" s="14" t="s">
        <v>65</v>
      </c>
      <c r="P23" s="14" t="s">
        <v>65</v>
      </c>
      <c r="Q23" s="14" t="s">
        <v>65</v>
      </c>
      <c r="R23" s="14" t="s">
        <v>65</v>
      </c>
      <c r="S23" s="14" t="s">
        <v>65</v>
      </c>
    </row>
    <row r="24" spans="1:19" x14ac:dyDescent="0.3">
      <c r="A24" s="10" t="s">
        <v>709</v>
      </c>
      <c r="B24" s="10" t="s">
        <v>710</v>
      </c>
      <c r="C24" s="14" t="s">
        <v>65</v>
      </c>
      <c r="D24" s="14" t="s">
        <v>65</v>
      </c>
      <c r="E24" s="14" t="s">
        <v>65</v>
      </c>
      <c r="F24" s="14" t="s">
        <v>65</v>
      </c>
      <c r="G24" s="14" t="s">
        <v>65</v>
      </c>
      <c r="H24" s="14">
        <v>41</v>
      </c>
      <c r="I24" s="14">
        <v>53</v>
      </c>
      <c r="J24" s="14">
        <v>54</v>
      </c>
      <c r="K24" s="14">
        <v>54</v>
      </c>
      <c r="L24" s="14">
        <v>53</v>
      </c>
      <c r="M24" s="14">
        <v>53</v>
      </c>
      <c r="N24" s="14">
        <v>53</v>
      </c>
      <c r="O24" s="14">
        <v>51</v>
      </c>
      <c r="P24" s="14">
        <v>51</v>
      </c>
      <c r="Q24" s="14">
        <v>54</v>
      </c>
      <c r="R24" s="14">
        <v>54</v>
      </c>
      <c r="S24" s="14" t="s">
        <v>65</v>
      </c>
    </row>
    <row r="25" spans="1:19" x14ac:dyDescent="0.3">
      <c r="A25" s="10" t="s">
        <v>981</v>
      </c>
      <c r="B25" s="10" t="s">
        <v>982</v>
      </c>
      <c r="C25" s="14" t="s">
        <v>65</v>
      </c>
      <c r="D25" s="14" t="s">
        <v>65</v>
      </c>
      <c r="E25" s="14" t="s">
        <v>65</v>
      </c>
      <c r="F25" s="14" t="s">
        <v>65</v>
      </c>
      <c r="G25" s="14" t="s">
        <v>65</v>
      </c>
      <c r="H25" s="14" t="s">
        <v>65</v>
      </c>
      <c r="I25" s="14" t="s">
        <v>65</v>
      </c>
      <c r="J25" s="14" t="s">
        <v>65</v>
      </c>
      <c r="K25" s="14" t="s">
        <v>65</v>
      </c>
      <c r="L25" s="14" t="s">
        <v>65</v>
      </c>
      <c r="M25" s="14" t="s">
        <v>65</v>
      </c>
      <c r="N25" s="14" t="s">
        <v>65</v>
      </c>
      <c r="O25" s="14" t="s">
        <v>65</v>
      </c>
      <c r="P25" s="14" t="s">
        <v>65</v>
      </c>
      <c r="Q25" s="14" t="s">
        <v>65</v>
      </c>
      <c r="R25" s="14">
        <v>56.401699999999998</v>
      </c>
      <c r="S25" s="14" t="s">
        <v>65</v>
      </c>
    </row>
    <row r="26" spans="1:19" x14ac:dyDescent="0.3">
      <c r="A26" s="10" t="s">
        <v>983</v>
      </c>
      <c r="B26" s="10" t="s">
        <v>984</v>
      </c>
      <c r="C26" s="14" t="s">
        <v>65</v>
      </c>
      <c r="D26" s="14" t="s">
        <v>65</v>
      </c>
      <c r="E26" s="14" t="s">
        <v>65</v>
      </c>
      <c r="F26" s="14" t="s">
        <v>65</v>
      </c>
      <c r="G26" s="14" t="s">
        <v>65</v>
      </c>
      <c r="H26" s="14" t="s">
        <v>65</v>
      </c>
      <c r="I26" s="14" t="s">
        <v>65</v>
      </c>
      <c r="J26" s="14" t="s">
        <v>65</v>
      </c>
      <c r="K26" s="14" t="s">
        <v>65</v>
      </c>
      <c r="L26" s="14" t="s">
        <v>65</v>
      </c>
      <c r="M26" s="14" t="s">
        <v>65</v>
      </c>
      <c r="N26" s="14" t="s">
        <v>65</v>
      </c>
      <c r="O26" s="14" t="s">
        <v>65</v>
      </c>
      <c r="P26" s="14" t="s">
        <v>65</v>
      </c>
      <c r="Q26" s="14" t="s">
        <v>65</v>
      </c>
      <c r="R26" s="14">
        <v>60</v>
      </c>
      <c r="S26" s="14" t="s">
        <v>65</v>
      </c>
    </row>
    <row r="27" spans="1:19" x14ac:dyDescent="0.3">
      <c r="A27" s="10" t="s">
        <v>703</v>
      </c>
      <c r="B27" s="10" t="s">
        <v>704</v>
      </c>
      <c r="C27" s="12" t="s">
        <v>78</v>
      </c>
      <c r="D27" s="12" t="s">
        <v>78</v>
      </c>
      <c r="E27" s="12" t="s">
        <v>78</v>
      </c>
      <c r="F27" s="12" t="s">
        <v>78</v>
      </c>
      <c r="G27" s="12" t="s">
        <v>78</v>
      </c>
      <c r="H27" s="12" t="s">
        <v>79</v>
      </c>
      <c r="I27" s="12" t="s">
        <v>79</v>
      </c>
      <c r="J27" s="12" t="s">
        <v>79</v>
      </c>
      <c r="K27" s="12" t="s">
        <v>79</v>
      </c>
      <c r="L27" s="12" t="s">
        <v>79</v>
      </c>
      <c r="M27" s="12" t="s">
        <v>79</v>
      </c>
      <c r="N27" s="12" t="s">
        <v>79</v>
      </c>
      <c r="O27" s="12" t="s">
        <v>79</v>
      </c>
      <c r="P27" s="12" t="s">
        <v>79</v>
      </c>
      <c r="Q27" s="12" t="s">
        <v>79</v>
      </c>
      <c r="R27" s="12" t="s">
        <v>79</v>
      </c>
      <c r="S27" s="12" t="s">
        <v>79</v>
      </c>
    </row>
    <row r="28" spans="1:19" x14ac:dyDescent="0.3">
      <c r="A28" s="10" t="s">
        <v>985</v>
      </c>
      <c r="B28" s="10" t="s">
        <v>986</v>
      </c>
      <c r="C28" s="12" t="s">
        <v>622</v>
      </c>
      <c r="D28" s="12" t="s">
        <v>622</v>
      </c>
      <c r="E28" s="12" t="s">
        <v>622</v>
      </c>
      <c r="F28" s="12" t="s">
        <v>622</v>
      </c>
      <c r="G28" s="12" t="s">
        <v>622</v>
      </c>
      <c r="H28" s="12" t="s">
        <v>622</v>
      </c>
      <c r="I28" s="12" t="s">
        <v>622</v>
      </c>
      <c r="J28" s="12" t="s">
        <v>622</v>
      </c>
      <c r="K28" s="12" t="s">
        <v>622</v>
      </c>
      <c r="L28" s="12" t="s">
        <v>622</v>
      </c>
      <c r="M28" s="12" t="s">
        <v>622</v>
      </c>
      <c r="N28" s="12" t="s">
        <v>622</v>
      </c>
      <c r="O28" s="12" t="s">
        <v>622</v>
      </c>
      <c r="P28" s="12" t="s">
        <v>622</v>
      </c>
      <c r="Q28" s="12" t="s">
        <v>78</v>
      </c>
      <c r="R28" s="12" t="s">
        <v>622</v>
      </c>
      <c r="S28" s="12" t="s">
        <v>622</v>
      </c>
    </row>
    <row r="29" spans="1:19" x14ac:dyDescent="0.3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3">
      <c r="A30" s="10" t="s">
        <v>987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9" x14ac:dyDescent="0.3">
      <c r="A31" s="10" t="s">
        <v>988</v>
      </c>
      <c r="B31" s="10" t="s">
        <v>989</v>
      </c>
      <c r="C31" s="12" t="s">
        <v>622</v>
      </c>
      <c r="D31" s="12" t="s">
        <v>622</v>
      </c>
      <c r="E31" s="12" t="s">
        <v>622</v>
      </c>
      <c r="F31" s="12" t="s">
        <v>622</v>
      </c>
      <c r="G31" s="12" t="s">
        <v>622</v>
      </c>
      <c r="H31" s="12" t="s">
        <v>622</v>
      </c>
      <c r="I31" s="12" t="s">
        <v>622</v>
      </c>
      <c r="J31" s="12" t="s">
        <v>622</v>
      </c>
      <c r="K31" s="12" t="s">
        <v>622</v>
      </c>
      <c r="L31" s="12" t="s">
        <v>622</v>
      </c>
      <c r="M31" s="12" t="s">
        <v>622</v>
      </c>
      <c r="N31" s="12" t="s">
        <v>622</v>
      </c>
      <c r="O31" s="12" t="s">
        <v>622</v>
      </c>
      <c r="P31" s="12" t="s">
        <v>622</v>
      </c>
      <c r="Q31" s="12" t="s">
        <v>622</v>
      </c>
      <c r="R31" s="12" t="s">
        <v>79</v>
      </c>
      <c r="S31" s="12" t="s">
        <v>622</v>
      </c>
    </row>
    <row r="32" spans="1:19" x14ac:dyDescent="0.3">
      <c r="A32" s="10" t="s">
        <v>990</v>
      </c>
      <c r="B32" s="10" t="s">
        <v>991</v>
      </c>
      <c r="C32" s="12" t="s">
        <v>622</v>
      </c>
      <c r="D32" s="12" t="s">
        <v>622</v>
      </c>
      <c r="E32" s="12" t="s">
        <v>622</v>
      </c>
      <c r="F32" s="12" t="s">
        <v>622</v>
      </c>
      <c r="G32" s="12" t="s">
        <v>622</v>
      </c>
      <c r="H32" s="12" t="s">
        <v>622</v>
      </c>
      <c r="I32" s="12" t="s">
        <v>622</v>
      </c>
      <c r="J32" s="12" t="s">
        <v>622</v>
      </c>
      <c r="K32" s="12" t="s">
        <v>622</v>
      </c>
      <c r="L32" s="12" t="s">
        <v>622</v>
      </c>
      <c r="M32" s="12" t="s">
        <v>622</v>
      </c>
      <c r="N32" s="12" t="s">
        <v>622</v>
      </c>
      <c r="O32" s="12" t="s">
        <v>622</v>
      </c>
      <c r="P32" s="12" t="s">
        <v>622</v>
      </c>
      <c r="Q32" s="12" t="s">
        <v>622</v>
      </c>
      <c r="R32" s="12" t="s">
        <v>79</v>
      </c>
      <c r="S32" s="12" t="s">
        <v>622</v>
      </c>
    </row>
    <row r="33" spans="1:19" x14ac:dyDescent="0.3">
      <c r="A33" s="10" t="s">
        <v>992</v>
      </c>
      <c r="B33" s="10" t="s">
        <v>993</v>
      </c>
      <c r="C33" s="12" t="s">
        <v>622</v>
      </c>
      <c r="D33" s="12" t="s">
        <v>622</v>
      </c>
      <c r="E33" s="12" t="s">
        <v>622</v>
      </c>
      <c r="F33" s="12" t="s">
        <v>622</v>
      </c>
      <c r="G33" s="12" t="s">
        <v>622</v>
      </c>
      <c r="H33" s="12" t="s">
        <v>622</v>
      </c>
      <c r="I33" s="12" t="s">
        <v>622</v>
      </c>
      <c r="J33" s="12" t="s">
        <v>622</v>
      </c>
      <c r="K33" s="12" t="s">
        <v>622</v>
      </c>
      <c r="L33" s="12" t="s">
        <v>622</v>
      </c>
      <c r="M33" s="12" t="s">
        <v>622</v>
      </c>
      <c r="N33" s="12" t="s">
        <v>622</v>
      </c>
      <c r="O33" s="12" t="s">
        <v>622</v>
      </c>
      <c r="P33" s="12" t="s">
        <v>622</v>
      </c>
      <c r="Q33" s="12" t="s">
        <v>622</v>
      </c>
      <c r="R33" s="12" t="s">
        <v>78</v>
      </c>
      <c r="S33" s="12" t="s">
        <v>622</v>
      </c>
    </row>
    <row r="34" spans="1:19" x14ac:dyDescent="0.3">
      <c r="A34" s="10" t="s">
        <v>994</v>
      </c>
      <c r="B34" s="10" t="s">
        <v>995</v>
      </c>
      <c r="C34" s="12" t="s">
        <v>622</v>
      </c>
      <c r="D34" s="12" t="s">
        <v>622</v>
      </c>
      <c r="E34" s="12" t="s">
        <v>622</v>
      </c>
      <c r="F34" s="12" t="s">
        <v>622</v>
      </c>
      <c r="G34" s="12" t="s">
        <v>622</v>
      </c>
      <c r="H34" s="12" t="s">
        <v>622</v>
      </c>
      <c r="I34" s="12" t="s">
        <v>622</v>
      </c>
      <c r="J34" s="12" t="s">
        <v>622</v>
      </c>
      <c r="K34" s="12" t="s">
        <v>622</v>
      </c>
      <c r="L34" s="12" t="s">
        <v>622</v>
      </c>
      <c r="M34" s="12" t="s">
        <v>622</v>
      </c>
      <c r="N34" s="12" t="s">
        <v>622</v>
      </c>
      <c r="O34" s="12" t="s">
        <v>622</v>
      </c>
      <c r="P34" s="12" t="s">
        <v>622</v>
      </c>
      <c r="Q34" s="12" t="s">
        <v>622</v>
      </c>
      <c r="R34" s="12" t="s">
        <v>79</v>
      </c>
      <c r="S34" s="12" t="s">
        <v>622</v>
      </c>
    </row>
    <row r="35" spans="1:19" x14ac:dyDescent="0.3">
      <c r="A35" s="10" t="s">
        <v>996</v>
      </c>
      <c r="B35" s="10" t="s">
        <v>997</v>
      </c>
      <c r="C35" s="12" t="s">
        <v>622</v>
      </c>
      <c r="D35" s="12" t="s">
        <v>622</v>
      </c>
      <c r="E35" s="12" t="s">
        <v>622</v>
      </c>
      <c r="F35" s="12" t="s">
        <v>622</v>
      </c>
      <c r="G35" s="12" t="s">
        <v>622</v>
      </c>
      <c r="H35" s="12" t="s">
        <v>622</v>
      </c>
      <c r="I35" s="12" t="s">
        <v>622</v>
      </c>
      <c r="J35" s="12" t="s">
        <v>622</v>
      </c>
      <c r="K35" s="12" t="s">
        <v>622</v>
      </c>
      <c r="L35" s="12" t="s">
        <v>622</v>
      </c>
      <c r="M35" s="12" t="s">
        <v>622</v>
      </c>
      <c r="N35" s="12" t="s">
        <v>622</v>
      </c>
      <c r="O35" s="12" t="s">
        <v>622</v>
      </c>
      <c r="P35" s="12" t="s">
        <v>622</v>
      </c>
      <c r="Q35" s="12" t="s">
        <v>622</v>
      </c>
      <c r="R35" s="12" t="s">
        <v>78</v>
      </c>
      <c r="S35" s="12" t="s">
        <v>622</v>
      </c>
    </row>
    <row r="36" spans="1:19" x14ac:dyDescent="0.3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1:19" x14ac:dyDescent="0.3">
      <c r="A37" s="10" t="s">
        <v>998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1:19" x14ac:dyDescent="0.3">
      <c r="A38" s="10" t="s">
        <v>705</v>
      </c>
      <c r="B38" s="10" t="s">
        <v>706</v>
      </c>
      <c r="C38" s="12" t="s">
        <v>622</v>
      </c>
      <c r="D38" s="12" t="s">
        <v>622</v>
      </c>
      <c r="E38" s="12" t="s">
        <v>622</v>
      </c>
      <c r="F38" s="12" t="s">
        <v>622</v>
      </c>
      <c r="G38" s="12" t="s">
        <v>622</v>
      </c>
      <c r="H38" s="12" t="s">
        <v>622</v>
      </c>
      <c r="I38" s="12" t="s">
        <v>78</v>
      </c>
      <c r="J38" s="12" t="s">
        <v>78</v>
      </c>
      <c r="K38" s="12" t="s">
        <v>78</v>
      </c>
      <c r="L38" s="12" t="s">
        <v>78</v>
      </c>
      <c r="M38" s="12" t="s">
        <v>78</v>
      </c>
      <c r="N38" s="12" t="s">
        <v>78</v>
      </c>
      <c r="O38" s="12" t="s">
        <v>78</v>
      </c>
      <c r="P38" s="12" t="s">
        <v>78</v>
      </c>
      <c r="Q38" s="12" t="s">
        <v>78</v>
      </c>
      <c r="R38" s="12" t="s">
        <v>78</v>
      </c>
      <c r="S38" s="12" t="s">
        <v>622</v>
      </c>
    </row>
    <row r="39" spans="1:19" x14ac:dyDescent="0.3">
      <c r="A39" s="10" t="s">
        <v>999</v>
      </c>
      <c r="B39" s="10" t="s">
        <v>1000</v>
      </c>
      <c r="C39" s="12" t="s">
        <v>622</v>
      </c>
      <c r="D39" s="12" t="s">
        <v>622</v>
      </c>
      <c r="E39" s="12" t="s">
        <v>622</v>
      </c>
      <c r="F39" s="12" t="s">
        <v>622</v>
      </c>
      <c r="G39" s="12" t="s">
        <v>622</v>
      </c>
      <c r="H39" s="12" t="s">
        <v>622</v>
      </c>
      <c r="I39" s="12" t="s">
        <v>622</v>
      </c>
      <c r="J39" s="12" t="s">
        <v>622</v>
      </c>
      <c r="K39" s="12" t="s">
        <v>622</v>
      </c>
      <c r="L39" s="12" t="s">
        <v>622</v>
      </c>
      <c r="M39" s="12" t="s">
        <v>622</v>
      </c>
      <c r="N39" s="12" t="s">
        <v>622</v>
      </c>
      <c r="O39" s="12" t="s">
        <v>622</v>
      </c>
      <c r="P39" s="12" t="s">
        <v>622</v>
      </c>
      <c r="Q39" s="12" t="s">
        <v>622</v>
      </c>
      <c r="R39" s="12" t="s">
        <v>78</v>
      </c>
      <c r="S39" s="12" t="s">
        <v>622</v>
      </c>
    </row>
    <row r="40" spans="1:19" x14ac:dyDescent="0.3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1:19" x14ac:dyDescent="0.3">
      <c r="A41" s="10" t="s">
        <v>1001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1:19" x14ac:dyDescent="0.3">
      <c r="A42" s="10" t="s">
        <v>748</v>
      </c>
      <c r="B42" s="10" t="s">
        <v>749</v>
      </c>
      <c r="C42" s="14" t="s">
        <v>65</v>
      </c>
      <c r="D42" s="14" t="s">
        <v>65</v>
      </c>
      <c r="E42" s="14" t="s">
        <v>65</v>
      </c>
      <c r="F42" s="14" t="s">
        <v>65</v>
      </c>
      <c r="G42" s="14" t="s">
        <v>65</v>
      </c>
      <c r="H42" s="14">
        <v>73184</v>
      </c>
      <c r="I42" s="14">
        <v>806580</v>
      </c>
      <c r="J42" s="14">
        <v>2069650</v>
      </c>
      <c r="K42" s="14">
        <v>2926060</v>
      </c>
      <c r="L42" s="14">
        <v>2070580</v>
      </c>
      <c r="M42" s="14">
        <v>1600000</v>
      </c>
      <c r="N42" s="14">
        <v>1600000</v>
      </c>
      <c r="O42" s="14">
        <v>1491950</v>
      </c>
      <c r="P42" s="14">
        <v>2247090</v>
      </c>
      <c r="Q42" s="14">
        <v>3000000</v>
      </c>
      <c r="R42" s="14">
        <v>2030910</v>
      </c>
      <c r="S42" s="14" t="s">
        <v>65</v>
      </c>
    </row>
    <row r="43" spans="1:19" x14ac:dyDescent="0.3">
      <c r="A43" s="10" t="s">
        <v>736</v>
      </c>
      <c r="B43" s="10" t="s">
        <v>737</v>
      </c>
      <c r="C43" s="12" t="s">
        <v>78</v>
      </c>
      <c r="D43" s="12" t="s">
        <v>79</v>
      </c>
      <c r="E43" s="12" t="s">
        <v>79</v>
      </c>
      <c r="F43" s="12" t="s">
        <v>79</v>
      </c>
      <c r="G43" s="12" t="s">
        <v>79</v>
      </c>
      <c r="H43" s="12" t="s">
        <v>79</v>
      </c>
      <c r="I43" s="12" t="s">
        <v>79</v>
      </c>
      <c r="J43" s="12" t="s">
        <v>79</v>
      </c>
      <c r="K43" s="12" t="s">
        <v>79</v>
      </c>
      <c r="L43" s="12" t="s">
        <v>79</v>
      </c>
      <c r="M43" s="12" t="s">
        <v>79</v>
      </c>
      <c r="N43" s="12" t="s">
        <v>79</v>
      </c>
      <c r="O43" s="12" t="s">
        <v>79</v>
      </c>
      <c r="P43" s="12" t="s">
        <v>79</v>
      </c>
      <c r="Q43" s="12" t="s">
        <v>79</v>
      </c>
      <c r="R43" s="12" t="s">
        <v>79</v>
      </c>
      <c r="S43" s="12" t="s">
        <v>79</v>
      </c>
    </row>
    <row r="44" spans="1:19" x14ac:dyDescent="0.3">
      <c r="A44" s="10" t="s">
        <v>819</v>
      </c>
      <c r="B44" s="10" t="s">
        <v>820</v>
      </c>
      <c r="C44" s="12" t="s">
        <v>78</v>
      </c>
      <c r="D44" s="12" t="s">
        <v>78</v>
      </c>
      <c r="E44" s="12" t="s">
        <v>78</v>
      </c>
      <c r="F44" s="12" t="s">
        <v>78</v>
      </c>
      <c r="G44" s="12" t="s">
        <v>78</v>
      </c>
      <c r="H44" s="12" t="s">
        <v>78</v>
      </c>
      <c r="I44" s="12" t="s">
        <v>78</v>
      </c>
      <c r="J44" s="12" t="s">
        <v>78</v>
      </c>
      <c r="K44" s="12" t="s">
        <v>78</v>
      </c>
      <c r="L44" s="12" t="s">
        <v>78</v>
      </c>
      <c r="M44" s="12" t="s">
        <v>78</v>
      </c>
      <c r="N44" s="12" t="s">
        <v>78</v>
      </c>
      <c r="O44" s="12" t="s">
        <v>78</v>
      </c>
      <c r="P44" s="12" t="s">
        <v>78</v>
      </c>
      <c r="Q44" s="12" t="s">
        <v>78</v>
      </c>
      <c r="R44" s="12" t="s">
        <v>78</v>
      </c>
      <c r="S44" s="12" t="s">
        <v>622</v>
      </c>
    </row>
    <row r="45" spans="1:19" x14ac:dyDescent="0.3">
      <c r="A45" s="10" t="s">
        <v>1002</v>
      </c>
      <c r="B45" s="10" t="s">
        <v>1003</v>
      </c>
      <c r="C45" s="12" t="s">
        <v>622</v>
      </c>
      <c r="D45" s="12" t="s">
        <v>622</v>
      </c>
      <c r="E45" s="12" t="s">
        <v>622</v>
      </c>
      <c r="F45" s="12" t="s">
        <v>622</v>
      </c>
      <c r="G45" s="12" t="s">
        <v>622</v>
      </c>
      <c r="H45" s="12" t="s">
        <v>622</v>
      </c>
      <c r="I45" s="12" t="s">
        <v>622</v>
      </c>
      <c r="J45" s="12" t="s">
        <v>622</v>
      </c>
      <c r="K45" s="12" t="s">
        <v>622</v>
      </c>
      <c r="L45" s="12" t="s">
        <v>622</v>
      </c>
      <c r="M45" s="12" t="s">
        <v>622</v>
      </c>
      <c r="N45" s="12" t="s">
        <v>622</v>
      </c>
      <c r="O45" s="12" t="s">
        <v>622</v>
      </c>
      <c r="P45" s="12" t="s">
        <v>622</v>
      </c>
      <c r="Q45" s="12" t="s">
        <v>622</v>
      </c>
      <c r="R45" s="12" t="s">
        <v>78</v>
      </c>
      <c r="S45" s="12" t="s">
        <v>622</v>
      </c>
    </row>
    <row r="46" spans="1:19" x14ac:dyDescent="0.3">
      <c r="A46" s="10" t="s">
        <v>1004</v>
      </c>
      <c r="B46" s="10" t="s">
        <v>1005</v>
      </c>
      <c r="C46" s="12" t="s">
        <v>622</v>
      </c>
      <c r="D46" s="12" t="s">
        <v>622</v>
      </c>
      <c r="E46" s="12" t="s">
        <v>622</v>
      </c>
      <c r="F46" s="12" t="s">
        <v>622</v>
      </c>
      <c r="G46" s="12" t="s">
        <v>622</v>
      </c>
      <c r="H46" s="12" t="s">
        <v>622</v>
      </c>
      <c r="I46" s="12" t="s">
        <v>622</v>
      </c>
      <c r="J46" s="12" t="s">
        <v>622</v>
      </c>
      <c r="K46" s="12" t="s">
        <v>622</v>
      </c>
      <c r="L46" s="12" t="s">
        <v>622</v>
      </c>
      <c r="M46" s="12" t="s">
        <v>622</v>
      </c>
      <c r="N46" s="12" t="s">
        <v>622</v>
      </c>
      <c r="O46" s="12" t="s">
        <v>622</v>
      </c>
      <c r="P46" s="12" t="s">
        <v>622</v>
      </c>
      <c r="Q46" s="12" t="s">
        <v>622</v>
      </c>
      <c r="R46" s="12" t="s">
        <v>78</v>
      </c>
      <c r="S46" s="12" t="s">
        <v>622</v>
      </c>
    </row>
    <row r="47" spans="1:19" x14ac:dyDescent="0.3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 x14ac:dyDescent="0.3">
      <c r="A48" s="10" t="s">
        <v>1006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</row>
    <row r="49" spans="1:19" x14ac:dyDescent="0.3">
      <c r="A49" s="10" t="s">
        <v>719</v>
      </c>
      <c r="B49" s="10" t="s">
        <v>720</v>
      </c>
      <c r="C49" s="12" t="s">
        <v>78</v>
      </c>
      <c r="D49" s="12" t="s">
        <v>79</v>
      </c>
      <c r="E49" s="12" t="s">
        <v>79</v>
      </c>
      <c r="F49" s="12" t="s">
        <v>79</v>
      </c>
      <c r="G49" s="12" t="s">
        <v>79</v>
      </c>
      <c r="H49" s="12" t="s">
        <v>79</v>
      </c>
      <c r="I49" s="12" t="s">
        <v>79</v>
      </c>
      <c r="J49" s="12" t="s">
        <v>79</v>
      </c>
      <c r="K49" s="12" t="s">
        <v>79</v>
      </c>
      <c r="L49" s="12" t="s">
        <v>79</v>
      </c>
      <c r="M49" s="12" t="s">
        <v>79</v>
      </c>
      <c r="N49" s="12" t="s">
        <v>79</v>
      </c>
      <c r="O49" s="12" t="s">
        <v>79</v>
      </c>
      <c r="P49" s="12" t="s">
        <v>79</v>
      </c>
      <c r="Q49" s="12" t="s">
        <v>79</v>
      </c>
      <c r="R49" s="12" t="s">
        <v>79</v>
      </c>
      <c r="S49" s="12" t="s">
        <v>79</v>
      </c>
    </row>
    <row r="50" spans="1:19" x14ac:dyDescent="0.3">
      <c r="A50" s="10" t="s">
        <v>729</v>
      </c>
      <c r="B50" s="10" t="s">
        <v>730</v>
      </c>
      <c r="C50" s="14" t="s">
        <v>65</v>
      </c>
      <c r="D50" s="14" t="s">
        <v>65</v>
      </c>
      <c r="E50" s="14" t="s">
        <v>65</v>
      </c>
      <c r="F50" s="14" t="s">
        <v>65</v>
      </c>
      <c r="G50" s="14" t="s">
        <v>65</v>
      </c>
      <c r="H50" s="14">
        <v>0.11</v>
      </c>
      <c r="I50" s="14">
        <v>0.13</v>
      </c>
      <c r="J50" s="14">
        <v>0.06</v>
      </c>
      <c r="K50" s="14">
        <v>0.06</v>
      </c>
      <c r="L50" s="14">
        <v>0.08</v>
      </c>
      <c r="M50" s="14">
        <v>0.05</v>
      </c>
      <c r="N50" s="14">
        <v>0.05</v>
      </c>
      <c r="O50" s="14">
        <v>0.05</v>
      </c>
      <c r="P50" s="14">
        <v>9.7000000000000003E-2</v>
      </c>
      <c r="Q50" s="14">
        <v>0.04</v>
      </c>
      <c r="R50" s="14">
        <v>0.04</v>
      </c>
      <c r="S50" s="14" t="s">
        <v>65</v>
      </c>
    </row>
    <row r="51" spans="1:19" x14ac:dyDescent="0.3">
      <c r="A51" s="10" t="s">
        <v>727</v>
      </c>
      <c r="B51" s="10" t="s">
        <v>728</v>
      </c>
      <c r="C51" s="14" t="s">
        <v>65</v>
      </c>
      <c r="D51" s="14" t="s">
        <v>65</v>
      </c>
      <c r="E51" s="14" t="s">
        <v>65</v>
      </c>
      <c r="F51" s="14" t="s">
        <v>65</v>
      </c>
      <c r="G51" s="14" t="s">
        <v>65</v>
      </c>
      <c r="H51" s="14" t="s">
        <v>65</v>
      </c>
      <c r="I51" s="14" t="s">
        <v>65</v>
      </c>
      <c r="J51" s="14" t="s">
        <v>65</v>
      </c>
      <c r="K51" s="14" t="s">
        <v>65</v>
      </c>
      <c r="L51" s="14" t="s">
        <v>65</v>
      </c>
      <c r="M51" s="14">
        <v>0.05</v>
      </c>
      <c r="N51" s="14">
        <v>0.05</v>
      </c>
      <c r="O51" s="14">
        <v>0.05</v>
      </c>
      <c r="P51" s="14">
        <v>9.7000000000000003E-2</v>
      </c>
      <c r="Q51" s="14">
        <v>0.04</v>
      </c>
      <c r="R51" s="14">
        <v>0.04</v>
      </c>
      <c r="S51" s="14" t="s">
        <v>65</v>
      </c>
    </row>
    <row r="52" spans="1:19" x14ac:dyDescent="0.3">
      <c r="A52" s="10" t="s">
        <v>733</v>
      </c>
      <c r="B52" s="10" t="s">
        <v>734</v>
      </c>
      <c r="C52" s="14" t="s">
        <v>65</v>
      </c>
      <c r="D52" s="14" t="s">
        <v>65</v>
      </c>
      <c r="E52" s="14" t="s">
        <v>65</v>
      </c>
      <c r="F52" s="14" t="s">
        <v>65</v>
      </c>
      <c r="G52" s="14" t="s">
        <v>65</v>
      </c>
      <c r="H52" s="14" t="s">
        <v>65</v>
      </c>
      <c r="I52" s="14" t="s">
        <v>65</v>
      </c>
      <c r="J52" s="14" t="s">
        <v>65</v>
      </c>
      <c r="K52" s="14" t="s">
        <v>65</v>
      </c>
      <c r="L52" s="14" t="s">
        <v>65</v>
      </c>
      <c r="M52" s="14">
        <v>0.32</v>
      </c>
      <c r="N52" s="14">
        <v>0.26</v>
      </c>
      <c r="O52" s="14">
        <v>0.26</v>
      </c>
      <c r="P52" s="14">
        <v>0.3</v>
      </c>
      <c r="Q52" s="14">
        <v>0.2</v>
      </c>
      <c r="R52" s="14">
        <v>0.2</v>
      </c>
      <c r="S52" s="14" t="s">
        <v>65</v>
      </c>
    </row>
    <row r="53" spans="1:19" x14ac:dyDescent="0.3">
      <c r="A53" s="10" t="s">
        <v>731</v>
      </c>
      <c r="B53" s="10" t="s">
        <v>732</v>
      </c>
      <c r="C53" s="14" t="s">
        <v>65</v>
      </c>
      <c r="D53" s="14" t="s">
        <v>65</v>
      </c>
      <c r="E53" s="14" t="s">
        <v>65</v>
      </c>
      <c r="F53" s="14" t="s">
        <v>65</v>
      </c>
      <c r="G53" s="14" t="s">
        <v>65</v>
      </c>
      <c r="H53" s="14" t="s">
        <v>65</v>
      </c>
      <c r="I53" s="14" t="s">
        <v>65</v>
      </c>
      <c r="J53" s="14" t="s">
        <v>65</v>
      </c>
      <c r="K53" s="14" t="s">
        <v>65</v>
      </c>
      <c r="L53" s="14" t="s">
        <v>65</v>
      </c>
      <c r="M53" s="14">
        <v>0.32</v>
      </c>
      <c r="N53" s="14">
        <v>0.26</v>
      </c>
      <c r="O53" s="14">
        <v>0.3</v>
      </c>
      <c r="P53" s="14">
        <v>0.3</v>
      </c>
      <c r="Q53" s="14">
        <v>0.2</v>
      </c>
      <c r="R53" s="14">
        <v>0.2</v>
      </c>
      <c r="S53" s="14" t="s">
        <v>65</v>
      </c>
    </row>
    <row r="54" spans="1:19" x14ac:dyDescent="0.3">
      <c r="A54" s="10" t="s">
        <v>725</v>
      </c>
      <c r="B54" s="10" t="s">
        <v>726</v>
      </c>
      <c r="C54" s="14" t="s">
        <v>65</v>
      </c>
      <c r="D54" s="14" t="s">
        <v>65</v>
      </c>
      <c r="E54" s="14" t="s">
        <v>65</v>
      </c>
      <c r="F54" s="14" t="s">
        <v>65</v>
      </c>
      <c r="G54" s="14" t="s">
        <v>65</v>
      </c>
      <c r="H54" s="14" t="s">
        <v>65</v>
      </c>
      <c r="I54" s="14" t="s">
        <v>65</v>
      </c>
      <c r="J54" s="14" t="s">
        <v>65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 t="s">
        <v>65</v>
      </c>
    </row>
    <row r="55" spans="1:19" x14ac:dyDescent="0.3">
      <c r="A55" s="10" t="s">
        <v>721</v>
      </c>
      <c r="B55" s="10" t="s">
        <v>722</v>
      </c>
      <c r="C55" s="14" t="s">
        <v>65</v>
      </c>
      <c r="D55" s="14" t="s">
        <v>65</v>
      </c>
      <c r="E55" s="14" t="s">
        <v>65</v>
      </c>
      <c r="F55" s="14" t="s">
        <v>65</v>
      </c>
      <c r="G55" s="14" t="s">
        <v>65</v>
      </c>
      <c r="H55" s="14" t="s">
        <v>65</v>
      </c>
      <c r="I55" s="14" t="s">
        <v>65</v>
      </c>
      <c r="J55" s="14" t="s">
        <v>65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 t="s">
        <v>65</v>
      </c>
    </row>
    <row r="56" spans="1:19" x14ac:dyDescent="0.3">
      <c r="A56" s="10" t="s">
        <v>723</v>
      </c>
      <c r="B56" s="10" t="s">
        <v>724</v>
      </c>
      <c r="C56" s="14" t="s">
        <v>65</v>
      </c>
      <c r="D56" s="14" t="s">
        <v>65</v>
      </c>
      <c r="E56" s="14" t="s">
        <v>65</v>
      </c>
      <c r="F56" s="14" t="s">
        <v>65</v>
      </c>
      <c r="G56" s="14" t="s">
        <v>65</v>
      </c>
      <c r="H56" s="14" t="s">
        <v>65</v>
      </c>
      <c r="I56" s="14" t="s">
        <v>65</v>
      </c>
      <c r="J56" s="14" t="s">
        <v>65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 t="s">
        <v>65</v>
      </c>
    </row>
    <row r="57" spans="1:19" x14ac:dyDescent="0.3">
      <c r="A57" s="10" t="s">
        <v>1007</v>
      </c>
      <c r="B57" s="10" t="s">
        <v>1008</v>
      </c>
      <c r="C57" s="14" t="s">
        <v>65</v>
      </c>
      <c r="D57" s="14" t="s">
        <v>65</v>
      </c>
      <c r="E57" s="14" t="s">
        <v>65</v>
      </c>
      <c r="F57" s="14" t="s">
        <v>65</v>
      </c>
      <c r="G57" s="14" t="s">
        <v>65</v>
      </c>
      <c r="H57" s="14" t="s">
        <v>65</v>
      </c>
      <c r="I57" s="14" t="s">
        <v>65</v>
      </c>
      <c r="J57" s="14" t="s">
        <v>65</v>
      </c>
      <c r="K57" s="14" t="s">
        <v>65</v>
      </c>
      <c r="L57" s="14" t="s">
        <v>65</v>
      </c>
      <c r="M57" s="14" t="s">
        <v>65</v>
      </c>
      <c r="N57" s="14" t="s">
        <v>65</v>
      </c>
      <c r="O57" s="14" t="s">
        <v>65</v>
      </c>
      <c r="P57" s="14" t="s">
        <v>65</v>
      </c>
      <c r="Q57" s="14">
        <v>0</v>
      </c>
      <c r="R57" s="14">
        <v>0</v>
      </c>
      <c r="S57" s="14" t="s">
        <v>65</v>
      </c>
    </row>
    <row r="58" spans="1:19" x14ac:dyDescent="0.3">
      <c r="A58" s="10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</row>
    <row r="59" spans="1:19" x14ac:dyDescent="0.3">
      <c r="A59" s="10" t="s">
        <v>669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</row>
    <row r="60" spans="1:19" x14ac:dyDescent="0.3">
      <c r="A60" s="10" t="s">
        <v>752</v>
      </c>
      <c r="B60" s="10" t="s">
        <v>753</v>
      </c>
      <c r="C60" s="12" t="s">
        <v>78</v>
      </c>
      <c r="D60" s="12" t="s">
        <v>79</v>
      </c>
      <c r="E60" s="12" t="s">
        <v>79</v>
      </c>
      <c r="F60" s="12" t="s">
        <v>79</v>
      </c>
      <c r="G60" s="12" t="s">
        <v>79</v>
      </c>
      <c r="H60" s="12" t="s">
        <v>79</v>
      </c>
      <c r="I60" s="12" t="s">
        <v>79</v>
      </c>
      <c r="J60" s="12" t="s">
        <v>79</v>
      </c>
      <c r="K60" s="12" t="s">
        <v>79</v>
      </c>
      <c r="L60" s="12" t="s">
        <v>79</v>
      </c>
      <c r="M60" s="12" t="s">
        <v>79</v>
      </c>
      <c r="N60" s="12" t="s">
        <v>79</v>
      </c>
      <c r="O60" s="12" t="s">
        <v>79</v>
      </c>
      <c r="P60" s="12" t="s">
        <v>79</v>
      </c>
      <c r="Q60" s="12" t="s">
        <v>79</v>
      </c>
      <c r="R60" s="12" t="s">
        <v>79</v>
      </c>
      <c r="S60" s="12" t="s">
        <v>622</v>
      </c>
    </row>
    <row r="61" spans="1:19" x14ac:dyDescent="0.3">
      <c r="A61" s="10" t="s">
        <v>1009</v>
      </c>
      <c r="B61" s="10" t="s">
        <v>1010</v>
      </c>
      <c r="C61" s="12" t="s">
        <v>78</v>
      </c>
      <c r="D61" s="12" t="s">
        <v>78</v>
      </c>
      <c r="E61" s="12" t="s">
        <v>78</v>
      </c>
      <c r="F61" s="12" t="s">
        <v>78</v>
      </c>
      <c r="G61" s="12" t="s">
        <v>78</v>
      </c>
      <c r="H61" s="12" t="s">
        <v>78</v>
      </c>
      <c r="I61" s="12" t="s">
        <v>78</v>
      </c>
      <c r="J61" s="12" t="s">
        <v>79</v>
      </c>
      <c r="K61" s="12" t="s">
        <v>79</v>
      </c>
      <c r="L61" s="12" t="s">
        <v>79</v>
      </c>
      <c r="M61" s="12" t="s">
        <v>79</v>
      </c>
      <c r="N61" s="12" t="s">
        <v>79</v>
      </c>
      <c r="O61" s="12" t="s">
        <v>79</v>
      </c>
      <c r="P61" s="12" t="s">
        <v>79</v>
      </c>
      <c r="Q61" s="12" t="s">
        <v>79</v>
      </c>
      <c r="R61" s="12" t="s">
        <v>79</v>
      </c>
      <c r="S61" s="12" t="s">
        <v>622</v>
      </c>
    </row>
    <row r="62" spans="1:19" x14ac:dyDescent="0.3">
      <c r="A62" s="10" t="s">
        <v>754</v>
      </c>
      <c r="B62" s="10" t="s">
        <v>755</v>
      </c>
      <c r="C62" s="14" t="s">
        <v>65</v>
      </c>
      <c r="D62" s="14" t="s">
        <v>65</v>
      </c>
      <c r="E62" s="14" t="s">
        <v>65</v>
      </c>
      <c r="F62" s="14" t="s">
        <v>65</v>
      </c>
      <c r="G62" s="14" t="s">
        <v>65</v>
      </c>
      <c r="H62" s="14" t="s">
        <v>65</v>
      </c>
      <c r="I62" s="14" t="s">
        <v>65</v>
      </c>
      <c r="J62" s="14" t="s">
        <v>65</v>
      </c>
      <c r="K62" s="14" t="s">
        <v>65</v>
      </c>
      <c r="L62" s="14" t="s">
        <v>65</v>
      </c>
      <c r="M62" s="14">
        <v>336</v>
      </c>
      <c r="N62" s="14">
        <v>432</v>
      </c>
      <c r="O62" s="14">
        <v>320</v>
      </c>
      <c r="P62" s="14">
        <v>444</v>
      </c>
      <c r="Q62" s="14">
        <v>10822</v>
      </c>
      <c r="R62" s="14">
        <v>11834</v>
      </c>
      <c r="S62" s="14" t="s">
        <v>65</v>
      </c>
    </row>
    <row r="63" spans="1:19" x14ac:dyDescent="0.3">
      <c r="A63" s="10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</row>
    <row r="64" spans="1:19" x14ac:dyDescent="0.3">
      <c r="A64" s="10" t="s">
        <v>1011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</row>
    <row r="65" spans="1:19" x14ac:dyDescent="0.3">
      <c r="A65" s="10" t="s">
        <v>694</v>
      </c>
      <c r="B65" s="10" t="s">
        <v>695</v>
      </c>
      <c r="C65" s="12" t="s">
        <v>78</v>
      </c>
      <c r="D65" s="12" t="s">
        <v>78</v>
      </c>
      <c r="E65" s="12" t="s">
        <v>78</v>
      </c>
      <c r="F65" s="12" t="s">
        <v>78</v>
      </c>
      <c r="G65" s="12" t="s">
        <v>78</v>
      </c>
      <c r="H65" s="12" t="s">
        <v>79</v>
      </c>
      <c r="I65" s="12" t="s">
        <v>79</v>
      </c>
      <c r="J65" s="12" t="s">
        <v>79</v>
      </c>
      <c r="K65" s="12" t="s">
        <v>79</v>
      </c>
      <c r="L65" s="12" t="s">
        <v>79</v>
      </c>
      <c r="M65" s="12" t="s">
        <v>79</v>
      </c>
      <c r="N65" s="12" t="s">
        <v>79</v>
      </c>
      <c r="O65" s="12" t="s">
        <v>79</v>
      </c>
      <c r="P65" s="12" t="s">
        <v>79</v>
      </c>
      <c r="Q65" s="12" t="s">
        <v>79</v>
      </c>
      <c r="R65" s="12" t="s">
        <v>79</v>
      </c>
      <c r="S65" s="12" t="s">
        <v>622</v>
      </c>
    </row>
    <row r="66" spans="1:19" x14ac:dyDescent="0.3">
      <c r="A66" s="10" t="s">
        <v>1012</v>
      </c>
      <c r="B66" s="10" t="s">
        <v>1013</v>
      </c>
      <c r="C66" s="12" t="s">
        <v>622</v>
      </c>
      <c r="D66" s="12" t="s">
        <v>622</v>
      </c>
      <c r="E66" s="12" t="s">
        <v>622</v>
      </c>
      <c r="F66" s="12" t="s">
        <v>622</v>
      </c>
      <c r="G66" s="12" t="s">
        <v>622</v>
      </c>
      <c r="H66" s="12" t="s">
        <v>622</v>
      </c>
      <c r="I66" s="12" t="s">
        <v>622</v>
      </c>
      <c r="J66" s="12" t="s">
        <v>622</v>
      </c>
      <c r="K66" s="12" t="s">
        <v>622</v>
      </c>
      <c r="L66" s="12" t="s">
        <v>622</v>
      </c>
      <c r="M66" s="12" t="s">
        <v>622</v>
      </c>
      <c r="N66" s="12" t="s">
        <v>79</v>
      </c>
      <c r="O66" s="12" t="s">
        <v>79</v>
      </c>
      <c r="P66" s="12" t="s">
        <v>79</v>
      </c>
      <c r="Q66" s="12" t="s">
        <v>79</v>
      </c>
      <c r="R66" s="12" t="s">
        <v>79</v>
      </c>
      <c r="S66" s="12" t="s">
        <v>622</v>
      </c>
    </row>
    <row r="67" spans="1:19" x14ac:dyDescent="0.3">
      <c r="A67" s="10" t="s">
        <v>1014</v>
      </c>
      <c r="B67" s="10" t="s">
        <v>1015</v>
      </c>
      <c r="C67" s="12" t="s">
        <v>622</v>
      </c>
      <c r="D67" s="12" t="s">
        <v>622</v>
      </c>
      <c r="E67" s="12" t="s">
        <v>622</v>
      </c>
      <c r="F67" s="12" t="s">
        <v>622</v>
      </c>
      <c r="G67" s="12" t="s">
        <v>622</v>
      </c>
      <c r="H67" s="12" t="s">
        <v>622</v>
      </c>
      <c r="I67" s="12" t="s">
        <v>622</v>
      </c>
      <c r="J67" s="12" t="s">
        <v>622</v>
      </c>
      <c r="K67" s="12" t="s">
        <v>622</v>
      </c>
      <c r="L67" s="12" t="s">
        <v>622</v>
      </c>
      <c r="M67" s="12" t="s">
        <v>622</v>
      </c>
      <c r="N67" s="12" t="s">
        <v>78</v>
      </c>
      <c r="O67" s="12" t="s">
        <v>78</v>
      </c>
      <c r="P67" s="12" t="s">
        <v>78</v>
      </c>
      <c r="Q67" s="12" t="s">
        <v>78</v>
      </c>
      <c r="R67" s="12" t="s">
        <v>78</v>
      </c>
      <c r="S67" s="12" t="s">
        <v>622</v>
      </c>
    </row>
    <row r="68" spans="1:19" x14ac:dyDescent="0.3">
      <c r="A68" s="10" t="s">
        <v>1016</v>
      </c>
      <c r="B68" s="10" t="s">
        <v>1017</v>
      </c>
      <c r="C68" s="12" t="s">
        <v>622</v>
      </c>
      <c r="D68" s="12" t="s">
        <v>622</v>
      </c>
      <c r="E68" s="12" t="s">
        <v>622</v>
      </c>
      <c r="F68" s="12" t="s">
        <v>622</v>
      </c>
      <c r="G68" s="12" t="s">
        <v>622</v>
      </c>
      <c r="H68" s="12" t="s">
        <v>622</v>
      </c>
      <c r="I68" s="12" t="s">
        <v>622</v>
      </c>
      <c r="J68" s="12" t="s">
        <v>78</v>
      </c>
      <c r="K68" s="12" t="s">
        <v>78</v>
      </c>
      <c r="L68" s="12" t="s">
        <v>78</v>
      </c>
      <c r="M68" s="12" t="s">
        <v>79</v>
      </c>
      <c r="N68" s="12" t="s">
        <v>79</v>
      </c>
      <c r="O68" s="12" t="s">
        <v>79</v>
      </c>
      <c r="P68" s="12" t="s">
        <v>79</v>
      </c>
      <c r="Q68" s="12" t="s">
        <v>79</v>
      </c>
      <c r="R68" s="12" t="s">
        <v>79</v>
      </c>
      <c r="S68" s="12" t="s">
        <v>622</v>
      </c>
    </row>
    <row r="69" spans="1:19" x14ac:dyDescent="0.3">
      <c r="A69" s="10" t="s">
        <v>1018</v>
      </c>
      <c r="B69" s="10" t="s">
        <v>1019</v>
      </c>
      <c r="C69" s="12" t="s">
        <v>622</v>
      </c>
      <c r="D69" s="12" t="s">
        <v>622</v>
      </c>
      <c r="E69" s="12" t="s">
        <v>622</v>
      </c>
      <c r="F69" s="12" t="s">
        <v>622</v>
      </c>
      <c r="G69" s="12" t="s">
        <v>622</v>
      </c>
      <c r="H69" s="12" t="s">
        <v>622</v>
      </c>
      <c r="I69" s="12" t="s">
        <v>622</v>
      </c>
      <c r="J69" s="12" t="s">
        <v>78</v>
      </c>
      <c r="K69" s="12" t="s">
        <v>78</v>
      </c>
      <c r="L69" s="12" t="s">
        <v>78</v>
      </c>
      <c r="M69" s="12" t="s">
        <v>79</v>
      </c>
      <c r="N69" s="12" t="s">
        <v>79</v>
      </c>
      <c r="O69" s="12" t="s">
        <v>79</v>
      </c>
      <c r="P69" s="12" t="s">
        <v>79</v>
      </c>
      <c r="Q69" s="12" t="s">
        <v>79</v>
      </c>
      <c r="R69" s="12" t="s">
        <v>79</v>
      </c>
      <c r="S69" s="12" t="s">
        <v>622</v>
      </c>
    </row>
    <row r="70" spans="1:19" x14ac:dyDescent="0.3">
      <c r="A70" s="10" t="s">
        <v>696</v>
      </c>
      <c r="B70" s="10" t="s">
        <v>697</v>
      </c>
      <c r="C70" s="12" t="s">
        <v>78</v>
      </c>
      <c r="D70" s="12" t="s">
        <v>78</v>
      </c>
      <c r="E70" s="12" t="s">
        <v>78</v>
      </c>
      <c r="F70" s="12" t="s">
        <v>78</v>
      </c>
      <c r="G70" s="12" t="s">
        <v>78</v>
      </c>
      <c r="H70" s="12" t="s">
        <v>78</v>
      </c>
      <c r="I70" s="12" t="s">
        <v>78</v>
      </c>
      <c r="J70" s="12" t="s">
        <v>78</v>
      </c>
      <c r="K70" s="12" t="s">
        <v>79</v>
      </c>
      <c r="L70" s="12" t="s">
        <v>79</v>
      </c>
      <c r="M70" s="12" t="s">
        <v>79</v>
      </c>
      <c r="N70" s="12" t="s">
        <v>79</v>
      </c>
      <c r="O70" s="12" t="s">
        <v>79</v>
      </c>
      <c r="P70" s="12" t="s">
        <v>79</v>
      </c>
      <c r="Q70" s="12" t="s">
        <v>79</v>
      </c>
      <c r="R70" s="12" t="s">
        <v>79</v>
      </c>
      <c r="S70" s="12" t="s">
        <v>622</v>
      </c>
    </row>
    <row r="71" spans="1:19" x14ac:dyDescent="0.3">
      <c r="A71" s="10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</row>
    <row r="72" spans="1:19" x14ac:dyDescent="0.3">
      <c r="A72" s="10" t="s">
        <v>693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</row>
    <row r="73" spans="1:19" x14ac:dyDescent="0.3">
      <c r="A73" s="10" t="s">
        <v>700</v>
      </c>
      <c r="B73" s="10" t="s">
        <v>701</v>
      </c>
      <c r="C73" s="12" t="s">
        <v>622</v>
      </c>
      <c r="D73" s="12" t="s">
        <v>622</v>
      </c>
      <c r="E73" s="12" t="s">
        <v>622</v>
      </c>
      <c r="F73" s="12" t="s">
        <v>622</v>
      </c>
      <c r="G73" s="12" t="s">
        <v>622</v>
      </c>
      <c r="H73" s="12" t="s">
        <v>622</v>
      </c>
      <c r="I73" s="12" t="s">
        <v>622</v>
      </c>
      <c r="J73" s="12" t="s">
        <v>78</v>
      </c>
      <c r="K73" s="12" t="s">
        <v>78</v>
      </c>
      <c r="L73" s="12" t="s">
        <v>79</v>
      </c>
      <c r="M73" s="12" t="s">
        <v>79</v>
      </c>
      <c r="N73" s="12" t="s">
        <v>79</v>
      </c>
      <c r="O73" s="12" t="s">
        <v>79</v>
      </c>
      <c r="P73" s="12" t="s">
        <v>79</v>
      </c>
      <c r="Q73" s="12" t="s">
        <v>79</v>
      </c>
      <c r="R73" s="12" t="s">
        <v>79</v>
      </c>
      <c r="S73" s="12" t="s">
        <v>622</v>
      </c>
    </row>
    <row r="74" spans="1:19" x14ac:dyDescent="0.3">
      <c r="A74" s="10" t="s">
        <v>1020</v>
      </c>
      <c r="B74" s="10" t="s">
        <v>1021</v>
      </c>
      <c r="C74" s="14" t="s">
        <v>65</v>
      </c>
      <c r="D74" s="14" t="s">
        <v>65</v>
      </c>
      <c r="E74" s="14" t="s">
        <v>65</v>
      </c>
      <c r="F74" s="14" t="s">
        <v>65</v>
      </c>
      <c r="G74" s="14" t="s">
        <v>65</v>
      </c>
      <c r="H74" s="14" t="s">
        <v>65</v>
      </c>
      <c r="I74" s="14" t="s">
        <v>65</v>
      </c>
      <c r="J74" s="14" t="s">
        <v>65</v>
      </c>
      <c r="K74" s="14" t="s">
        <v>65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 t="s">
        <v>65</v>
      </c>
    </row>
    <row r="75" spans="1:19" x14ac:dyDescent="0.3">
      <c r="A75" s="10" t="s">
        <v>1022</v>
      </c>
      <c r="B75" s="10" t="s">
        <v>1023</v>
      </c>
      <c r="C75" s="14" t="s">
        <v>65</v>
      </c>
      <c r="D75" s="14" t="s">
        <v>65</v>
      </c>
      <c r="E75" s="14" t="s">
        <v>65</v>
      </c>
      <c r="F75" s="14" t="s">
        <v>65</v>
      </c>
      <c r="G75" s="14" t="s">
        <v>65</v>
      </c>
      <c r="H75" s="14" t="s">
        <v>65</v>
      </c>
      <c r="I75" s="14" t="s">
        <v>65</v>
      </c>
      <c r="J75" s="14" t="s">
        <v>65</v>
      </c>
      <c r="K75" s="14" t="s">
        <v>65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 t="s">
        <v>65</v>
      </c>
    </row>
    <row r="76" spans="1:19" x14ac:dyDescent="0.3">
      <c r="A76" s="10" t="s">
        <v>1024</v>
      </c>
      <c r="B76" s="10" t="s">
        <v>717</v>
      </c>
      <c r="C76" s="13" t="s">
        <v>65</v>
      </c>
      <c r="D76" s="13" t="s">
        <v>65</v>
      </c>
      <c r="E76" s="13" t="s">
        <v>65</v>
      </c>
      <c r="F76" s="13" t="s">
        <v>65</v>
      </c>
      <c r="G76" s="13" t="s">
        <v>65</v>
      </c>
      <c r="H76" s="13" t="s">
        <v>65</v>
      </c>
      <c r="I76" s="13" t="s">
        <v>65</v>
      </c>
      <c r="J76" s="13" t="s">
        <v>65</v>
      </c>
      <c r="K76" s="13" t="s">
        <v>65</v>
      </c>
      <c r="L76" s="13" t="s">
        <v>65</v>
      </c>
      <c r="M76" s="13" t="s">
        <v>65</v>
      </c>
      <c r="N76" s="13" t="s">
        <v>65</v>
      </c>
      <c r="O76" s="13" t="s">
        <v>65</v>
      </c>
      <c r="P76" s="13" t="s">
        <v>65</v>
      </c>
      <c r="Q76" s="13" t="s">
        <v>65</v>
      </c>
      <c r="R76" s="13">
        <v>0</v>
      </c>
      <c r="S76" s="13" t="s">
        <v>65</v>
      </c>
    </row>
    <row r="77" spans="1:19" x14ac:dyDescent="0.3">
      <c r="A77" s="10" t="s">
        <v>1025</v>
      </c>
      <c r="B77" s="10" t="s">
        <v>1026</v>
      </c>
      <c r="C77" s="12" t="s">
        <v>622</v>
      </c>
      <c r="D77" s="12" t="s">
        <v>622</v>
      </c>
      <c r="E77" s="12" t="s">
        <v>622</v>
      </c>
      <c r="F77" s="12" t="s">
        <v>622</v>
      </c>
      <c r="G77" s="12" t="s">
        <v>622</v>
      </c>
      <c r="H77" s="12" t="s">
        <v>622</v>
      </c>
      <c r="I77" s="12" t="s">
        <v>622</v>
      </c>
      <c r="J77" s="12" t="s">
        <v>622</v>
      </c>
      <c r="K77" s="12" t="s">
        <v>622</v>
      </c>
      <c r="L77" s="12" t="s">
        <v>622</v>
      </c>
      <c r="M77" s="12" t="s">
        <v>622</v>
      </c>
      <c r="N77" s="12" t="s">
        <v>622</v>
      </c>
      <c r="O77" s="12" t="s">
        <v>622</v>
      </c>
      <c r="P77" s="12" t="s">
        <v>622</v>
      </c>
      <c r="Q77" s="12" t="s">
        <v>78</v>
      </c>
      <c r="R77" s="12" t="s">
        <v>78</v>
      </c>
      <c r="S77" s="12" t="s">
        <v>622</v>
      </c>
    </row>
    <row r="78" spans="1:19" x14ac:dyDescent="0.3">
      <c r="A78" s="10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 spans="1:19" x14ac:dyDescent="0.3">
      <c r="A79" s="10" t="s">
        <v>1027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 spans="1:19" x14ac:dyDescent="0.3">
      <c r="A80" s="10" t="s">
        <v>714</v>
      </c>
      <c r="B80" s="10" t="s">
        <v>715</v>
      </c>
      <c r="C80" s="12" t="s">
        <v>78</v>
      </c>
      <c r="D80" s="12" t="s">
        <v>78</v>
      </c>
      <c r="E80" s="12" t="s">
        <v>78</v>
      </c>
      <c r="F80" s="12" t="s">
        <v>78</v>
      </c>
      <c r="G80" s="12" t="s">
        <v>79</v>
      </c>
      <c r="H80" s="12" t="s">
        <v>79</v>
      </c>
      <c r="I80" s="12" t="s">
        <v>79</v>
      </c>
      <c r="J80" s="12" t="s">
        <v>79</v>
      </c>
      <c r="K80" s="12" t="s">
        <v>79</v>
      </c>
      <c r="L80" s="12" t="s">
        <v>79</v>
      </c>
      <c r="M80" s="12" t="s">
        <v>79</v>
      </c>
      <c r="N80" s="12" t="s">
        <v>79</v>
      </c>
      <c r="O80" s="12" t="s">
        <v>79</v>
      </c>
      <c r="P80" s="12" t="s">
        <v>79</v>
      </c>
      <c r="Q80" s="12" t="s">
        <v>79</v>
      </c>
      <c r="R80" s="12" t="s">
        <v>79</v>
      </c>
      <c r="S80" s="12" t="s">
        <v>79</v>
      </c>
    </row>
    <row r="81" spans="1:19" x14ac:dyDescent="0.3">
      <c r="A81" s="10" t="s">
        <v>712</v>
      </c>
      <c r="B81" s="10" t="s">
        <v>713</v>
      </c>
      <c r="C81" s="12" t="s">
        <v>79</v>
      </c>
      <c r="D81" s="12" t="s">
        <v>79</v>
      </c>
      <c r="E81" s="12" t="s">
        <v>79</v>
      </c>
      <c r="F81" s="12" t="s">
        <v>79</v>
      </c>
      <c r="G81" s="12" t="s">
        <v>79</v>
      </c>
      <c r="H81" s="12" t="s">
        <v>79</v>
      </c>
      <c r="I81" s="12" t="s">
        <v>79</v>
      </c>
      <c r="J81" s="12" t="s">
        <v>79</v>
      </c>
      <c r="K81" s="12" t="s">
        <v>79</v>
      </c>
      <c r="L81" s="12" t="s">
        <v>79</v>
      </c>
      <c r="M81" s="12" t="s">
        <v>79</v>
      </c>
      <c r="N81" s="12" t="s">
        <v>79</v>
      </c>
      <c r="O81" s="12" t="s">
        <v>79</v>
      </c>
      <c r="P81" s="12" t="s">
        <v>79</v>
      </c>
      <c r="Q81" s="12" t="s">
        <v>79</v>
      </c>
      <c r="R81" s="12" t="s">
        <v>79</v>
      </c>
      <c r="S81" s="12" t="s">
        <v>622</v>
      </c>
    </row>
    <row r="82" spans="1:19" x14ac:dyDescent="0.3">
      <c r="A82" s="10" t="s">
        <v>1028</v>
      </c>
      <c r="B82" s="10" t="s">
        <v>1029</v>
      </c>
      <c r="C82" s="12" t="s">
        <v>78</v>
      </c>
      <c r="D82" s="12" t="s">
        <v>78</v>
      </c>
      <c r="E82" s="12" t="s">
        <v>78</v>
      </c>
      <c r="F82" s="12" t="s">
        <v>79</v>
      </c>
      <c r="G82" s="12" t="s">
        <v>79</v>
      </c>
      <c r="H82" s="12" t="s">
        <v>79</v>
      </c>
      <c r="I82" s="12" t="s">
        <v>79</v>
      </c>
      <c r="J82" s="12" t="s">
        <v>79</v>
      </c>
      <c r="K82" s="12" t="s">
        <v>79</v>
      </c>
      <c r="L82" s="12" t="s">
        <v>79</v>
      </c>
      <c r="M82" s="12" t="s">
        <v>79</v>
      </c>
      <c r="N82" s="12" t="s">
        <v>79</v>
      </c>
      <c r="O82" s="12" t="s">
        <v>79</v>
      </c>
      <c r="P82" s="12" t="s">
        <v>79</v>
      </c>
      <c r="Q82" s="12" t="s">
        <v>79</v>
      </c>
      <c r="R82" s="12" t="s">
        <v>79</v>
      </c>
      <c r="S82" s="12" t="s">
        <v>79</v>
      </c>
    </row>
    <row r="83" spans="1:19" x14ac:dyDescent="0.3">
      <c r="A83" s="10" t="s">
        <v>738</v>
      </c>
      <c r="B83" s="10" t="s">
        <v>739</v>
      </c>
      <c r="C83" s="12" t="s">
        <v>78</v>
      </c>
      <c r="D83" s="12" t="s">
        <v>78</v>
      </c>
      <c r="E83" s="12" t="s">
        <v>78</v>
      </c>
      <c r="F83" s="12" t="s">
        <v>78</v>
      </c>
      <c r="G83" s="12" t="s">
        <v>78</v>
      </c>
      <c r="H83" s="12" t="s">
        <v>78</v>
      </c>
      <c r="I83" s="12" t="s">
        <v>78</v>
      </c>
      <c r="J83" s="12" t="s">
        <v>78</v>
      </c>
      <c r="K83" s="12" t="s">
        <v>78</v>
      </c>
      <c r="L83" s="12" t="s">
        <v>78</v>
      </c>
      <c r="M83" s="12" t="s">
        <v>78</v>
      </c>
      <c r="N83" s="12" t="s">
        <v>78</v>
      </c>
      <c r="O83" s="12" t="s">
        <v>78</v>
      </c>
      <c r="P83" s="12" t="s">
        <v>78</v>
      </c>
      <c r="Q83" s="12" t="s">
        <v>78</v>
      </c>
      <c r="R83" s="12" t="s">
        <v>78</v>
      </c>
      <c r="S83" s="12" t="s">
        <v>622</v>
      </c>
    </row>
    <row r="84" spans="1:19" x14ac:dyDescent="0.3">
      <c r="A84" s="10" t="s">
        <v>1030</v>
      </c>
      <c r="B84" s="10" t="s">
        <v>1031</v>
      </c>
      <c r="C84" s="12" t="s">
        <v>622</v>
      </c>
      <c r="D84" s="12" t="s">
        <v>622</v>
      </c>
      <c r="E84" s="12" t="s">
        <v>622</v>
      </c>
      <c r="F84" s="12" t="s">
        <v>622</v>
      </c>
      <c r="G84" s="12" t="s">
        <v>622</v>
      </c>
      <c r="H84" s="12" t="s">
        <v>622</v>
      </c>
      <c r="I84" s="12" t="s">
        <v>622</v>
      </c>
      <c r="J84" s="12" t="s">
        <v>78</v>
      </c>
      <c r="K84" s="12" t="s">
        <v>78</v>
      </c>
      <c r="L84" s="12" t="s">
        <v>79</v>
      </c>
      <c r="M84" s="12" t="s">
        <v>79</v>
      </c>
      <c r="N84" s="12" t="s">
        <v>79</v>
      </c>
      <c r="O84" s="12" t="s">
        <v>79</v>
      </c>
      <c r="P84" s="12" t="s">
        <v>79</v>
      </c>
      <c r="Q84" s="12" t="s">
        <v>79</v>
      </c>
      <c r="R84" s="12" t="s">
        <v>79</v>
      </c>
      <c r="S84" s="12" t="s">
        <v>622</v>
      </c>
    </row>
    <row r="85" spans="1:19" x14ac:dyDescent="0.3">
      <c r="A85" s="10" t="s">
        <v>698</v>
      </c>
      <c r="B85" s="10" t="s">
        <v>699</v>
      </c>
      <c r="C85" s="12" t="s">
        <v>622</v>
      </c>
      <c r="D85" s="12" t="s">
        <v>622</v>
      </c>
      <c r="E85" s="12" t="s">
        <v>622</v>
      </c>
      <c r="F85" s="12" t="s">
        <v>622</v>
      </c>
      <c r="G85" s="12" t="s">
        <v>622</v>
      </c>
      <c r="H85" s="12" t="s">
        <v>622</v>
      </c>
      <c r="I85" s="12" t="s">
        <v>622</v>
      </c>
      <c r="J85" s="12" t="s">
        <v>78</v>
      </c>
      <c r="K85" s="12" t="s">
        <v>78</v>
      </c>
      <c r="L85" s="12" t="s">
        <v>78</v>
      </c>
      <c r="M85" s="12" t="s">
        <v>78</v>
      </c>
      <c r="N85" s="12" t="s">
        <v>78</v>
      </c>
      <c r="O85" s="12" t="s">
        <v>78</v>
      </c>
      <c r="P85" s="12" t="s">
        <v>79</v>
      </c>
      <c r="Q85" s="12" t="s">
        <v>79</v>
      </c>
      <c r="R85" s="12" t="s">
        <v>79</v>
      </c>
      <c r="S85" s="12" t="s">
        <v>622</v>
      </c>
    </row>
    <row r="86" spans="1:19" x14ac:dyDescent="0.3">
      <c r="A86" s="10" t="s">
        <v>1032</v>
      </c>
      <c r="B86" s="10" t="s">
        <v>1033</v>
      </c>
      <c r="C86" s="12" t="s">
        <v>622</v>
      </c>
      <c r="D86" s="12" t="s">
        <v>622</v>
      </c>
      <c r="E86" s="12" t="s">
        <v>622</v>
      </c>
      <c r="F86" s="12" t="s">
        <v>622</v>
      </c>
      <c r="G86" s="12" t="s">
        <v>622</v>
      </c>
      <c r="H86" s="12" t="s">
        <v>622</v>
      </c>
      <c r="I86" s="12" t="s">
        <v>622</v>
      </c>
      <c r="J86" s="12" t="s">
        <v>622</v>
      </c>
      <c r="K86" s="12" t="s">
        <v>622</v>
      </c>
      <c r="L86" s="12" t="s">
        <v>622</v>
      </c>
      <c r="M86" s="12" t="s">
        <v>622</v>
      </c>
      <c r="N86" s="12" t="s">
        <v>622</v>
      </c>
      <c r="O86" s="12" t="s">
        <v>622</v>
      </c>
      <c r="P86" s="12" t="s">
        <v>622</v>
      </c>
      <c r="Q86" s="12" t="s">
        <v>79</v>
      </c>
      <c r="R86" s="12" t="s">
        <v>79</v>
      </c>
      <c r="S86" s="12" t="s">
        <v>79</v>
      </c>
    </row>
    <row r="87" spans="1:19" x14ac:dyDescent="0.3">
      <c r="A87" s="10" t="s">
        <v>1034</v>
      </c>
      <c r="B87" s="10" t="s">
        <v>1035</v>
      </c>
      <c r="C87" s="12" t="s">
        <v>622</v>
      </c>
      <c r="D87" s="12" t="s">
        <v>622</v>
      </c>
      <c r="E87" s="12" t="s">
        <v>622</v>
      </c>
      <c r="F87" s="12" t="s">
        <v>622</v>
      </c>
      <c r="G87" s="12" t="s">
        <v>622</v>
      </c>
      <c r="H87" s="12" t="s">
        <v>622</v>
      </c>
      <c r="I87" s="12" t="s">
        <v>622</v>
      </c>
      <c r="J87" s="12" t="s">
        <v>622</v>
      </c>
      <c r="K87" s="12" t="s">
        <v>622</v>
      </c>
      <c r="L87" s="12" t="s">
        <v>622</v>
      </c>
      <c r="M87" s="12" t="s">
        <v>622</v>
      </c>
      <c r="N87" s="12" t="s">
        <v>622</v>
      </c>
      <c r="O87" s="12" t="s">
        <v>622</v>
      </c>
      <c r="P87" s="12" t="s">
        <v>622</v>
      </c>
      <c r="Q87" s="12" t="s">
        <v>78</v>
      </c>
      <c r="R87" s="12" t="s">
        <v>78</v>
      </c>
      <c r="S87" s="12" t="s">
        <v>622</v>
      </c>
    </row>
    <row r="88" spans="1:19" x14ac:dyDescent="0.3">
      <c r="A88" s="10" t="s">
        <v>1036</v>
      </c>
      <c r="B88" s="10" t="s">
        <v>1037</v>
      </c>
      <c r="C88" s="12" t="s">
        <v>622</v>
      </c>
      <c r="D88" s="12" t="s">
        <v>622</v>
      </c>
      <c r="E88" s="12" t="s">
        <v>622</v>
      </c>
      <c r="F88" s="12" t="s">
        <v>622</v>
      </c>
      <c r="G88" s="12" t="s">
        <v>622</v>
      </c>
      <c r="H88" s="12" t="s">
        <v>622</v>
      </c>
      <c r="I88" s="12" t="s">
        <v>622</v>
      </c>
      <c r="J88" s="12" t="s">
        <v>622</v>
      </c>
      <c r="K88" s="12" t="s">
        <v>622</v>
      </c>
      <c r="L88" s="12" t="s">
        <v>622</v>
      </c>
      <c r="M88" s="12" t="s">
        <v>622</v>
      </c>
      <c r="N88" s="12" t="s">
        <v>622</v>
      </c>
      <c r="O88" s="12" t="s">
        <v>622</v>
      </c>
      <c r="P88" s="12" t="s">
        <v>622</v>
      </c>
      <c r="Q88" s="12" t="s">
        <v>78</v>
      </c>
      <c r="R88" s="12" t="s">
        <v>78</v>
      </c>
      <c r="S88" s="12" t="s">
        <v>622</v>
      </c>
    </row>
    <row r="89" spans="1:19" x14ac:dyDescent="0.3">
      <c r="A89" s="10" t="s">
        <v>1038</v>
      </c>
      <c r="B89" s="10" t="s">
        <v>1039</v>
      </c>
      <c r="C89" s="12" t="s">
        <v>622</v>
      </c>
      <c r="D89" s="12" t="s">
        <v>622</v>
      </c>
      <c r="E89" s="12" t="s">
        <v>622</v>
      </c>
      <c r="F89" s="12" t="s">
        <v>622</v>
      </c>
      <c r="G89" s="12" t="s">
        <v>622</v>
      </c>
      <c r="H89" s="12" t="s">
        <v>622</v>
      </c>
      <c r="I89" s="12" t="s">
        <v>622</v>
      </c>
      <c r="J89" s="12" t="s">
        <v>78</v>
      </c>
      <c r="K89" s="12" t="s">
        <v>78</v>
      </c>
      <c r="L89" s="12" t="s">
        <v>79</v>
      </c>
      <c r="M89" s="12" t="s">
        <v>79</v>
      </c>
      <c r="N89" s="12" t="s">
        <v>79</v>
      </c>
      <c r="O89" s="12" t="s">
        <v>79</v>
      </c>
      <c r="P89" s="12" t="s">
        <v>79</v>
      </c>
      <c r="Q89" s="12" t="s">
        <v>79</v>
      </c>
      <c r="R89" s="12" t="s">
        <v>79</v>
      </c>
      <c r="S89" s="12" t="s">
        <v>79</v>
      </c>
    </row>
    <row r="90" spans="1:19" x14ac:dyDescent="0.3">
      <c r="A90" s="10" t="s">
        <v>1040</v>
      </c>
      <c r="B90" s="10" t="s">
        <v>1041</v>
      </c>
      <c r="C90" s="12" t="s">
        <v>622</v>
      </c>
      <c r="D90" s="12" t="s">
        <v>622</v>
      </c>
      <c r="E90" s="12" t="s">
        <v>622</v>
      </c>
      <c r="F90" s="12" t="s">
        <v>622</v>
      </c>
      <c r="G90" s="12" t="s">
        <v>622</v>
      </c>
      <c r="H90" s="12" t="s">
        <v>622</v>
      </c>
      <c r="I90" s="12" t="s">
        <v>622</v>
      </c>
      <c r="J90" s="12" t="s">
        <v>78</v>
      </c>
      <c r="K90" s="12" t="s">
        <v>78</v>
      </c>
      <c r="L90" s="12" t="s">
        <v>78</v>
      </c>
      <c r="M90" s="12" t="s">
        <v>78</v>
      </c>
      <c r="N90" s="12" t="s">
        <v>78</v>
      </c>
      <c r="O90" s="12" t="s">
        <v>78</v>
      </c>
      <c r="P90" s="12" t="s">
        <v>78</v>
      </c>
      <c r="Q90" s="12" t="s">
        <v>78</v>
      </c>
      <c r="R90" s="12" t="s">
        <v>78</v>
      </c>
      <c r="S90" s="12" t="s">
        <v>622</v>
      </c>
    </row>
    <row r="91" spans="1:19" x14ac:dyDescent="0.3">
      <c r="A91" s="10" t="s">
        <v>1042</v>
      </c>
      <c r="B91" s="10" t="s">
        <v>1043</v>
      </c>
      <c r="C91" s="12" t="s">
        <v>622</v>
      </c>
      <c r="D91" s="12" t="s">
        <v>622</v>
      </c>
      <c r="E91" s="12" t="s">
        <v>622</v>
      </c>
      <c r="F91" s="12" t="s">
        <v>622</v>
      </c>
      <c r="G91" s="12" t="s">
        <v>622</v>
      </c>
      <c r="H91" s="12" t="s">
        <v>622</v>
      </c>
      <c r="I91" s="12" t="s">
        <v>622</v>
      </c>
      <c r="J91" s="12" t="s">
        <v>78</v>
      </c>
      <c r="K91" s="12" t="s">
        <v>78</v>
      </c>
      <c r="L91" s="12" t="s">
        <v>78</v>
      </c>
      <c r="M91" s="12" t="s">
        <v>78</v>
      </c>
      <c r="N91" s="12" t="s">
        <v>78</v>
      </c>
      <c r="O91" s="12" t="s">
        <v>79</v>
      </c>
      <c r="P91" s="12" t="s">
        <v>79</v>
      </c>
      <c r="Q91" s="12" t="s">
        <v>79</v>
      </c>
      <c r="R91" s="12" t="s">
        <v>79</v>
      </c>
      <c r="S91" s="12" t="s">
        <v>622</v>
      </c>
    </row>
    <row r="92" spans="1:19" x14ac:dyDescent="0.3">
      <c r="A92" s="10" t="s">
        <v>694</v>
      </c>
      <c r="B92" s="10" t="s">
        <v>695</v>
      </c>
      <c r="C92" s="12" t="s">
        <v>78</v>
      </c>
      <c r="D92" s="12" t="s">
        <v>78</v>
      </c>
      <c r="E92" s="12" t="s">
        <v>78</v>
      </c>
      <c r="F92" s="12" t="s">
        <v>78</v>
      </c>
      <c r="G92" s="12" t="s">
        <v>78</v>
      </c>
      <c r="H92" s="12" t="s">
        <v>79</v>
      </c>
      <c r="I92" s="12" t="s">
        <v>79</v>
      </c>
      <c r="J92" s="12" t="s">
        <v>79</v>
      </c>
      <c r="K92" s="12" t="s">
        <v>79</v>
      </c>
      <c r="L92" s="12" t="s">
        <v>79</v>
      </c>
      <c r="M92" s="12" t="s">
        <v>79</v>
      </c>
      <c r="N92" s="12" t="s">
        <v>79</v>
      </c>
      <c r="O92" s="12" t="s">
        <v>79</v>
      </c>
      <c r="P92" s="12" t="s">
        <v>79</v>
      </c>
      <c r="Q92" s="12" t="s">
        <v>79</v>
      </c>
      <c r="R92" s="12" t="s">
        <v>79</v>
      </c>
      <c r="S92" s="12" t="s">
        <v>622</v>
      </c>
    </row>
    <row r="93" spans="1:19" x14ac:dyDescent="0.3">
      <c r="A93" s="10" t="s">
        <v>1012</v>
      </c>
      <c r="B93" s="10" t="s">
        <v>1013</v>
      </c>
      <c r="C93" s="12" t="s">
        <v>622</v>
      </c>
      <c r="D93" s="12" t="s">
        <v>622</v>
      </c>
      <c r="E93" s="12" t="s">
        <v>622</v>
      </c>
      <c r="F93" s="12" t="s">
        <v>622</v>
      </c>
      <c r="G93" s="12" t="s">
        <v>622</v>
      </c>
      <c r="H93" s="12" t="s">
        <v>622</v>
      </c>
      <c r="I93" s="12" t="s">
        <v>622</v>
      </c>
      <c r="J93" s="12" t="s">
        <v>622</v>
      </c>
      <c r="K93" s="12" t="s">
        <v>622</v>
      </c>
      <c r="L93" s="12" t="s">
        <v>622</v>
      </c>
      <c r="M93" s="12" t="s">
        <v>622</v>
      </c>
      <c r="N93" s="12" t="s">
        <v>79</v>
      </c>
      <c r="O93" s="12" t="s">
        <v>79</v>
      </c>
      <c r="P93" s="12" t="s">
        <v>79</v>
      </c>
      <c r="Q93" s="12" t="s">
        <v>79</v>
      </c>
      <c r="R93" s="12" t="s">
        <v>79</v>
      </c>
      <c r="S93" s="12" t="s">
        <v>622</v>
      </c>
    </row>
    <row r="94" spans="1:19" x14ac:dyDescent="0.3">
      <c r="A94" s="10" t="s">
        <v>696</v>
      </c>
      <c r="B94" s="10" t="s">
        <v>697</v>
      </c>
      <c r="C94" s="12" t="s">
        <v>78</v>
      </c>
      <c r="D94" s="12" t="s">
        <v>78</v>
      </c>
      <c r="E94" s="12" t="s">
        <v>78</v>
      </c>
      <c r="F94" s="12" t="s">
        <v>78</v>
      </c>
      <c r="G94" s="12" t="s">
        <v>78</v>
      </c>
      <c r="H94" s="12" t="s">
        <v>78</v>
      </c>
      <c r="I94" s="12" t="s">
        <v>78</v>
      </c>
      <c r="J94" s="12" t="s">
        <v>78</v>
      </c>
      <c r="K94" s="12" t="s">
        <v>79</v>
      </c>
      <c r="L94" s="12" t="s">
        <v>79</v>
      </c>
      <c r="M94" s="12" t="s">
        <v>79</v>
      </c>
      <c r="N94" s="12" t="s">
        <v>79</v>
      </c>
      <c r="O94" s="12" t="s">
        <v>79</v>
      </c>
      <c r="P94" s="12" t="s">
        <v>79</v>
      </c>
      <c r="Q94" s="12" t="s">
        <v>79</v>
      </c>
      <c r="R94" s="12" t="s">
        <v>79</v>
      </c>
      <c r="S94" s="12" t="s">
        <v>622</v>
      </c>
    </row>
    <row r="95" spans="1:19" x14ac:dyDescent="0.3">
      <c r="A95" s="10" t="s">
        <v>1016</v>
      </c>
      <c r="B95" s="10" t="s">
        <v>1017</v>
      </c>
      <c r="C95" s="12" t="s">
        <v>622</v>
      </c>
      <c r="D95" s="12" t="s">
        <v>622</v>
      </c>
      <c r="E95" s="12" t="s">
        <v>622</v>
      </c>
      <c r="F95" s="12" t="s">
        <v>622</v>
      </c>
      <c r="G95" s="12" t="s">
        <v>622</v>
      </c>
      <c r="H95" s="12" t="s">
        <v>622</v>
      </c>
      <c r="I95" s="12" t="s">
        <v>622</v>
      </c>
      <c r="J95" s="12" t="s">
        <v>78</v>
      </c>
      <c r="K95" s="12" t="s">
        <v>78</v>
      </c>
      <c r="L95" s="12" t="s">
        <v>78</v>
      </c>
      <c r="M95" s="12" t="s">
        <v>79</v>
      </c>
      <c r="N95" s="12" t="s">
        <v>79</v>
      </c>
      <c r="O95" s="12" t="s">
        <v>79</v>
      </c>
      <c r="P95" s="12" t="s">
        <v>79</v>
      </c>
      <c r="Q95" s="12" t="s">
        <v>79</v>
      </c>
      <c r="R95" s="12" t="s">
        <v>79</v>
      </c>
      <c r="S95" s="12" t="s">
        <v>622</v>
      </c>
    </row>
    <row r="96" spans="1:19" x14ac:dyDescent="0.3">
      <c r="A96" s="10" t="s">
        <v>1018</v>
      </c>
      <c r="B96" s="10" t="s">
        <v>1019</v>
      </c>
      <c r="C96" s="12" t="s">
        <v>622</v>
      </c>
      <c r="D96" s="12" t="s">
        <v>622</v>
      </c>
      <c r="E96" s="12" t="s">
        <v>622</v>
      </c>
      <c r="F96" s="12" t="s">
        <v>622</v>
      </c>
      <c r="G96" s="12" t="s">
        <v>622</v>
      </c>
      <c r="H96" s="12" t="s">
        <v>622</v>
      </c>
      <c r="I96" s="12" t="s">
        <v>622</v>
      </c>
      <c r="J96" s="12" t="s">
        <v>78</v>
      </c>
      <c r="K96" s="12" t="s">
        <v>78</v>
      </c>
      <c r="L96" s="12" t="s">
        <v>78</v>
      </c>
      <c r="M96" s="12" t="s">
        <v>79</v>
      </c>
      <c r="N96" s="12" t="s">
        <v>79</v>
      </c>
      <c r="O96" s="12" t="s">
        <v>79</v>
      </c>
      <c r="P96" s="12" t="s">
        <v>79</v>
      </c>
      <c r="Q96" s="12" t="s">
        <v>79</v>
      </c>
      <c r="R96" s="12" t="s">
        <v>79</v>
      </c>
      <c r="S96" s="12" t="s">
        <v>622</v>
      </c>
    </row>
    <row r="97" spans="1:19" x14ac:dyDescent="0.3">
      <c r="A97" s="10" t="s">
        <v>700</v>
      </c>
      <c r="B97" s="10" t="s">
        <v>701</v>
      </c>
      <c r="C97" s="12" t="s">
        <v>622</v>
      </c>
      <c r="D97" s="12" t="s">
        <v>622</v>
      </c>
      <c r="E97" s="12" t="s">
        <v>622</v>
      </c>
      <c r="F97" s="12" t="s">
        <v>622</v>
      </c>
      <c r="G97" s="12" t="s">
        <v>622</v>
      </c>
      <c r="H97" s="12" t="s">
        <v>622</v>
      </c>
      <c r="I97" s="12" t="s">
        <v>622</v>
      </c>
      <c r="J97" s="12" t="s">
        <v>78</v>
      </c>
      <c r="K97" s="12" t="s">
        <v>78</v>
      </c>
      <c r="L97" s="12" t="s">
        <v>79</v>
      </c>
      <c r="M97" s="12" t="s">
        <v>79</v>
      </c>
      <c r="N97" s="12" t="s">
        <v>79</v>
      </c>
      <c r="O97" s="12" t="s">
        <v>79</v>
      </c>
      <c r="P97" s="12" t="s">
        <v>79</v>
      </c>
      <c r="Q97" s="12" t="s">
        <v>79</v>
      </c>
      <c r="R97" s="12" t="s">
        <v>79</v>
      </c>
      <c r="S97" s="12" t="s">
        <v>622</v>
      </c>
    </row>
    <row r="98" spans="1:19" x14ac:dyDescent="0.3">
      <c r="A98" s="10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</row>
    <row r="99" spans="1:19" x14ac:dyDescent="0.3">
      <c r="A99" s="10" t="s">
        <v>1044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</row>
    <row r="100" spans="1:19" x14ac:dyDescent="0.3">
      <c r="A100" s="10" t="s">
        <v>1045</v>
      </c>
      <c r="B100" s="10" t="s">
        <v>1046</v>
      </c>
      <c r="C100" s="12" t="s">
        <v>78</v>
      </c>
      <c r="D100" s="12" t="s">
        <v>78</v>
      </c>
      <c r="E100" s="12" t="s">
        <v>78</v>
      </c>
      <c r="F100" s="12" t="s">
        <v>78</v>
      </c>
      <c r="G100" s="12" t="s">
        <v>78</v>
      </c>
      <c r="H100" s="12" t="s">
        <v>78</v>
      </c>
      <c r="I100" s="12" t="s">
        <v>78</v>
      </c>
      <c r="J100" s="12" t="s">
        <v>78</v>
      </c>
      <c r="K100" s="12" t="s">
        <v>78</v>
      </c>
      <c r="L100" s="12" t="s">
        <v>78</v>
      </c>
      <c r="M100" s="12" t="s">
        <v>78</v>
      </c>
      <c r="N100" s="12" t="s">
        <v>78</v>
      </c>
      <c r="O100" s="12" t="s">
        <v>78</v>
      </c>
      <c r="P100" s="12" t="s">
        <v>79</v>
      </c>
      <c r="Q100" s="12" t="s">
        <v>79</v>
      </c>
      <c r="R100" s="12" t="s">
        <v>79</v>
      </c>
      <c r="S100" s="12" t="s">
        <v>622</v>
      </c>
    </row>
    <row r="101" spans="1:19" x14ac:dyDescent="0.3">
      <c r="A101" s="10" t="s">
        <v>1047</v>
      </c>
      <c r="B101" s="10" t="s">
        <v>1043</v>
      </c>
      <c r="C101" s="12" t="s">
        <v>622</v>
      </c>
      <c r="D101" s="12" t="s">
        <v>622</v>
      </c>
      <c r="E101" s="12" t="s">
        <v>622</v>
      </c>
      <c r="F101" s="12" t="s">
        <v>622</v>
      </c>
      <c r="G101" s="12" t="s">
        <v>622</v>
      </c>
      <c r="H101" s="12" t="s">
        <v>622</v>
      </c>
      <c r="I101" s="12" t="s">
        <v>622</v>
      </c>
      <c r="J101" s="12" t="s">
        <v>78</v>
      </c>
      <c r="K101" s="12" t="s">
        <v>78</v>
      </c>
      <c r="L101" s="12" t="s">
        <v>78</v>
      </c>
      <c r="M101" s="12" t="s">
        <v>78</v>
      </c>
      <c r="N101" s="12" t="s">
        <v>78</v>
      </c>
      <c r="O101" s="12" t="s">
        <v>79</v>
      </c>
      <c r="P101" s="12" t="s">
        <v>79</v>
      </c>
      <c r="Q101" s="12" t="s">
        <v>79</v>
      </c>
      <c r="R101" s="12" t="s">
        <v>79</v>
      </c>
      <c r="S101" s="12" t="s">
        <v>622</v>
      </c>
    </row>
    <row r="102" spans="1:19" x14ac:dyDescent="0.3">
      <c r="A102" s="10" t="s">
        <v>1048</v>
      </c>
      <c r="B102" s="10" t="s">
        <v>1049</v>
      </c>
      <c r="C102" s="12" t="s">
        <v>78</v>
      </c>
      <c r="D102" s="12" t="s">
        <v>78</v>
      </c>
      <c r="E102" s="12" t="s">
        <v>78</v>
      </c>
      <c r="F102" s="12" t="s">
        <v>78</v>
      </c>
      <c r="G102" s="12" t="s">
        <v>78</v>
      </c>
      <c r="H102" s="12" t="s">
        <v>78</v>
      </c>
      <c r="I102" s="12" t="s">
        <v>78</v>
      </c>
      <c r="J102" s="12" t="s">
        <v>78</v>
      </c>
      <c r="K102" s="12" t="s">
        <v>622</v>
      </c>
      <c r="L102" s="12" t="s">
        <v>622</v>
      </c>
      <c r="M102" s="12" t="s">
        <v>622</v>
      </c>
      <c r="N102" s="12" t="s">
        <v>622</v>
      </c>
      <c r="O102" s="12" t="s">
        <v>622</v>
      </c>
      <c r="P102" s="12" t="s">
        <v>622</v>
      </c>
      <c r="Q102" s="12" t="s">
        <v>622</v>
      </c>
      <c r="R102" s="12" t="s">
        <v>622</v>
      </c>
      <c r="S102" s="12" t="s">
        <v>622</v>
      </c>
    </row>
    <row r="103" spans="1:19" x14ac:dyDescent="0.3">
      <c r="A103" s="10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</row>
    <row r="104" spans="1:19" x14ac:dyDescent="0.3">
      <c r="A104" s="10" t="s">
        <v>1050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</row>
    <row r="105" spans="1:19" x14ac:dyDescent="0.3">
      <c r="A105" s="10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</row>
    <row r="106" spans="1:19" x14ac:dyDescent="0.3">
      <c r="A106" s="10" t="s">
        <v>1051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</row>
    <row r="107" spans="1:19" x14ac:dyDescent="0.3">
      <c r="A107" s="10" t="s">
        <v>1052</v>
      </c>
      <c r="B107" s="10" t="s">
        <v>1053</v>
      </c>
      <c r="C107" s="14" t="s">
        <v>65</v>
      </c>
      <c r="D107" s="14" t="s">
        <v>65</v>
      </c>
      <c r="E107" s="14" t="s">
        <v>65</v>
      </c>
      <c r="F107" s="14" t="s">
        <v>65</v>
      </c>
      <c r="G107" s="14" t="s">
        <v>65</v>
      </c>
      <c r="H107" s="14" t="s">
        <v>65</v>
      </c>
      <c r="I107" s="14" t="s">
        <v>65</v>
      </c>
      <c r="J107" s="14" t="s">
        <v>65</v>
      </c>
      <c r="K107" s="14" t="s">
        <v>65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 t="s">
        <v>65</v>
      </c>
    </row>
    <row r="108" spans="1:19" x14ac:dyDescent="0.3">
      <c r="A108" s="10" t="s">
        <v>1054</v>
      </c>
      <c r="B108" s="10" t="s">
        <v>1055</v>
      </c>
      <c r="C108" s="13" t="s">
        <v>65</v>
      </c>
      <c r="D108" s="13" t="s">
        <v>65</v>
      </c>
      <c r="E108" s="13" t="s">
        <v>65</v>
      </c>
      <c r="F108" s="13" t="s">
        <v>65</v>
      </c>
      <c r="G108" s="13" t="s">
        <v>65</v>
      </c>
      <c r="H108" s="13" t="s">
        <v>65</v>
      </c>
      <c r="I108" s="13" t="s">
        <v>65</v>
      </c>
      <c r="J108" s="13" t="s">
        <v>65</v>
      </c>
      <c r="K108" s="13" t="s">
        <v>65</v>
      </c>
      <c r="L108" s="13">
        <v>0</v>
      </c>
      <c r="M108" s="13">
        <v>0</v>
      </c>
      <c r="N108" s="13">
        <v>0</v>
      </c>
      <c r="O108" s="13">
        <v>0</v>
      </c>
      <c r="P108" s="13">
        <v>0</v>
      </c>
      <c r="Q108" s="13">
        <v>0</v>
      </c>
      <c r="R108" s="13">
        <v>0</v>
      </c>
      <c r="S108" s="13" t="s">
        <v>65</v>
      </c>
    </row>
    <row r="109" spans="1:19" x14ac:dyDescent="0.3">
      <c r="A109" s="10" t="s">
        <v>1056</v>
      </c>
      <c r="B109" s="10" t="s">
        <v>1057</v>
      </c>
      <c r="C109" s="14" t="s">
        <v>65</v>
      </c>
      <c r="D109" s="14" t="s">
        <v>65</v>
      </c>
      <c r="E109" s="14" t="s">
        <v>65</v>
      </c>
      <c r="F109" s="14" t="s">
        <v>65</v>
      </c>
      <c r="G109" s="14" t="s">
        <v>65</v>
      </c>
      <c r="H109" s="14" t="s">
        <v>65</v>
      </c>
      <c r="I109" s="14" t="s">
        <v>65</v>
      </c>
      <c r="J109" s="14" t="s">
        <v>65</v>
      </c>
      <c r="K109" s="14" t="s">
        <v>65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 t="s">
        <v>65</v>
      </c>
    </row>
    <row r="110" spans="1:19" x14ac:dyDescent="0.3">
      <c r="A110" s="10" t="s">
        <v>1058</v>
      </c>
      <c r="B110" s="10" t="s">
        <v>1059</v>
      </c>
      <c r="C110" s="13" t="s">
        <v>65</v>
      </c>
      <c r="D110" s="13" t="s">
        <v>65</v>
      </c>
      <c r="E110" s="13" t="s">
        <v>65</v>
      </c>
      <c r="F110" s="13" t="s">
        <v>65</v>
      </c>
      <c r="G110" s="13" t="s">
        <v>65</v>
      </c>
      <c r="H110" s="13" t="s">
        <v>65</v>
      </c>
      <c r="I110" s="13" t="s">
        <v>65</v>
      </c>
      <c r="J110" s="13" t="s">
        <v>65</v>
      </c>
      <c r="K110" s="13" t="s">
        <v>65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 t="s">
        <v>65</v>
      </c>
    </row>
    <row r="111" spans="1:19" x14ac:dyDescent="0.3">
      <c r="A111" s="10" t="s">
        <v>1060</v>
      </c>
      <c r="B111" s="10" t="s">
        <v>1061</v>
      </c>
      <c r="C111" s="14" t="s">
        <v>65</v>
      </c>
      <c r="D111" s="14" t="s">
        <v>65</v>
      </c>
      <c r="E111" s="14" t="s">
        <v>65</v>
      </c>
      <c r="F111" s="14" t="s">
        <v>65</v>
      </c>
      <c r="G111" s="14" t="s">
        <v>65</v>
      </c>
      <c r="H111" s="14" t="s">
        <v>65</v>
      </c>
      <c r="I111" s="14" t="s">
        <v>65</v>
      </c>
      <c r="J111" s="14" t="s">
        <v>65</v>
      </c>
      <c r="K111" s="14" t="s">
        <v>65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 t="s">
        <v>65</v>
      </c>
    </row>
    <row r="112" spans="1:19" x14ac:dyDescent="0.3">
      <c r="A112" s="10" t="s">
        <v>1062</v>
      </c>
      <c r="B112" s="10" t="s">
        <v>1063</v>
      </c>
      <c r="C112" s="13" t="s">
        <v>65</v>
      </c>
      <c r="D112" s="13" t="s">
        <v>65</v>
      </c>
      <c r="E112" s="13" t="s">
        <v>65</v>
      </c>
      <c r="F112" s="13" t="s">
        <v>65</v>
      </c>
      <c r="G112" s="13" t="s">
        <v>65</v>
      </c>
      <c r="H112" s="13" t="s">
        <v>65</v>
      </c>
      <c r="I112" s="13" t="s">
        <v>65</v>
      </c>
      <c r="J112" s="13" t="s">
        <v>65</v>
      </c>
      <c r="K112" s="13" t="s">
        <v>65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 t="s">
        <v>65</v>
      </c>
    </row>
    <row r="113" spans="1:19" x14ac:dyDescent="0.3">
      <c r="A113" s="7" t="s">
        <v>90</v>
      </c>
      <c r="B113" s="7"/>
      <c r="C113" s="7" t="s">
        <v>91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42"/>
  <sheetViews>
    <sheetView topLeftCell="A6" workbookViewId="0">
      <selection activeCell="I14" sqref="I14"/>
    </sheetView>
  </sheetViews>
  <sheetFormatPr defaultRowHeight="14.4" x14ac:dyDescent="0.3"/>
  <cols>
    <col min="1" max="1" width="35.109375" customWidth="1"/>
    <col min="2" max="2" width="0" hidden="1" customWidth="1"/>
    <col min="3" max="19" width="11.88671875" customWidth="1"/>
  </cols>
  <sheetData>
    <row r="1" spans="1:1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1" x14ac:dyDescent="0.3">
      <c r="A2" s="8" t="s">
        <v>1064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3">
      <c r="A4" s="3" t="s">
        <v>1</v>
      </c>
      <c r="B4" s="3"/>
      <c r="C4" s="4" t="s">
        <v>258</v>
      </c>
      <c r="D4" s="4" t="s">
        <v>259</v>
      </c>
      <c r="E4" s="4" t="s">
        <v>2</v>
      </c>
      <c r="F4" s="4" t="s">
        <v>3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11</v>
      </c>
      <c r="O4" s="4" t="s">
        <v>12</v>
      </c>
      <c r="P4" s="4" t="s">
        <v>13</v>
      </c>
      <c r="Q4" s="4" t="s">
        <v>14</v>
      </c>
      <c r="R4" s="4" t="s">
        <v>15</v>
      </c>
      <c r="S4" s="4" t="s">
        <v>16</v>
      </c>
    </row>
    <row r="5" spans="1:19" x14ac:dyDescent="0.3">
      <c r="A5" s="9" t="s">
        <v>20</v>
      </c>
      <c r="B5" s="9"/>
      <c r="C5" s="5" t="s">
        <v>261</v>
      </c>
      <c r="D5" s="5" t="s">
        <v>262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5" t="s">
        <v>29</v>
      </c>
      <c r="N5" s="5" t="s">
        <v>30</v>
      </c>
      <c r="O5" s="5" t="s">
        <v>31</v>
      </c>
      <c r="P5" s="5" t="s">
        <v>32</v>
      </c>
      <c r="Q5" s="5" t="s">
        <v>33</v>
      </c>
      <c r="R5" s="5" t="s">
        <v>34</v>
      </c>
      <c r="S5" s="5" t="s">
        <v>35</v>
      </c>
    </row>
    <row r="6" spans="1:19" x14ac:dyDescent="0.3">
      <c r="A6" s="10" t="s">
        <v>589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 spans="1:19" x14ac:dyDescent="0.3">
      <c r="A7" s="10" t="s">
        <v>596</v>
      </c>
      <c r="B7" s="10" t="s">
        <v>597</v>
      </c>
      <c r="C7" s="14" t="s">
        <v>65</v>
      </c>
      <c r="D7" s="14" t="s">
        <v>65</v>
      </c>
      <c r="E7" s="14" t="s">
        <v>65</v>
      </c>
      <c r="F7" s="14" t="s">
        <v>65</v>
      </c>
      <c r="G7" s="14" t="s">
        <v>65</v>
      </c>
      <c r="H7" s="14" t="s">
        <v>65</v>
      </c>
      <c r="I7" s="14" t="s">
        <v>65</v>
      </c>
      <c r="J7" s="14">
        <v>6.65</v>
      </c>
      <c r="K7" s="14">
        <v>6.73</v>
      </c>
      <c r="L7" s="14">
        <v>6.92</v>
      </c>
      <c r="M7" s="14">
        <v>6.8</v>
      </c>
      <c r="N7" s="14">
        <v>6.69</v>
      </c>
      <c r="O7" s="14">
        <v>6.47</v>
      </c>
      <c r="P7" s="14">
        <v>6.35</v>
      </c>
      <c r="Q7" s="14">
        <v>6.98</v>
      </c>
      <c r="R7" s="14" t="s">
        <v>65</v>
      </c>
      <c r="S7" s="14" t="s">
        <v>65</v>
      </c>
    </row>
    <row r="8" spans="1:19" x14ac:dyDescent="0.3">
      <c r="A8" s="10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 spans="1:19" x14ac:dyDescent="0.3">
      <c r="A9" s="10" t="s">
        <v>598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19" x14ac:dyDescent="0.3">
      <c r="A10" s="10" t="s">
        <v>605</v>
      </c>
      <c r="B10" s="10" t="s">
        <v>606</v>
      </c>
      <c r="C10" s="14">
        <v>80.523799999999994</v>
      </c>
      <c r="D10" s="14">
        <v>80.523799999999994</v>
      </c>
      <c r="E10" s="14">
        <v>80.523799999999994</v>
      </c>
      <c r="F10" s="14">
        <v>85.520799999999994</v>
      </c>
      <c r="G10" s="14">
        <v>85.520799999999994</v>
      </c>
      <c r="H10" s="14">
        <v>85.520799999999994</v>
      </c>
      <c r="I10" s="14">
        <v>85.520799999999994</v>
      </c>
      <c r="J10" s="14">
        <v>87.477400000000003</v>
      </c>
      <c r="K10" s="14">
        <v>93.738699999999994</v>
      </c>
      <c r="L10" s="14">
        <v>87.477400000000003</v>
      </c>
      <c r="M10" s="14">
        <v>87.477400000000003</v>
      </c>
      <c r="N10" s="14">
        <v>93.738699999999994</v>
      </c>
      <c r="O10" s="14">
        <v>93.738699999999994</v>
      </c>
      <c r="P10" s="14">
        <v>93.738699999999994</v>
      </c>
      <c r="Q10" s="14">
        <v>93.738699999999994</v>
      </c>
      <c r="R10" s="14" t="s">
        <v>65</v>
      </c>
      <c r="S10" s="14" t="s">
        <v>65</v>
      </c>
    </row>
    <row r="11" spans="1:19" x14ac:dyDescent="0.3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x14ac:dyDescent="0.3">
      <c r="A12" s="10" t="s">
        <v>1065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spans="1:19" x14ac:dyDescent="0.3">
      <c r="A13" s="10" t="s">
        <v>771</v>
      </c>
      <c r="B13" s="10" t="s">
        <v>772</v>
      </c>
      <c r="C13" s="14">
        <v>7</v>
      </c>
      <c r="D13" s="14">
        <v>8</v>
      </c>
      <c r="E13" s="14">
        <v>7</v>
      </c>
      <c r="F13" s="14">
        <v>8</v>
      </c>
      <c r="G13" s="14">
        <v>8</v>
      </c>
      <c r="H13" s="14">
        <v>9</v>
      </c>
      <c r="I13" s="14">
        <v>9</v>
      </c>
      <c r="J13" s="14">
        <v>9</v>
      </c>
      <c r="K13" s="14">
        <v>10</v>
      </c>
      <c r="L13" s="14">
        <v>8</v>
      </c>
      <c r="M13" s="14">
        <v>9</v>
      </c>
      <c r="N13" s="14">
        <v>9</v>
      </c>
      <c r="O13" s="14">
        <v>9</v>
      </c>
      <c r="P13" s="14">
        <v>10</v>
      </c>
      <c r="Q13" s="14">
        <v>11</v>
      </c>
      <c r="R13" s="14">
        <v>9</v>
      </c>
      <c r="S13" s="14" t="s">
        <v>65</v>
      </c>
    </row>
    <row r="14" spans="1:19" x14ac:dyDescent="0.3">
      <c r="A14" s="10" t="s">
        <v>1066</v>
      </c>
      <c r="B14" s="10" t="s">
        <v>1067</v>
      </c>
      <c r="C14" s="14">
        <v>1</v>
      </c>
      <c r="D14" s="14">
        <v>1</v>
      </c>
      <c r="E14" s="14">
        <v>1</v>
      </c>
      <c r="F14" s="14">
        <v>1</v>
      </c>
      <c r="G14" s="14">
        <v>1</v>
      </c>
      <c r="H14" s="14">
        <v>1</v>
      </c>
      <c r="I14" s="14">
        <v>1</v>
      </c>
      <c r="J14" s="14">
        <v>1</v>
      </c>
      <c r="K14" s="14">
        <v>1</v>
      </c>
      <c r="L14" s="14">
        <v>1</v>
      </c>
      <c r="M14" s="14">
        <v>1</v>
      </c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 t="s">
        <v>65</v>
      </c>
    </row>
    <row r="15" spans="1:19" x14ac:dyDescent="0.3">
      <c r="A15" s="10" t="s">
        <v>1068</v>
      </c>
      <c r="B15" s="10" t="s">
        <v>1069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 t="s">
        <v>65</v>
      </c>
    </row>
    <row r="16" spans="1:19" x14ac:dyDescent="0.3">
      <c r="A16" s="10" t="s">
        <v>1070</v>
      </c>
      <c r="B16" s="10" t="s">
        <v>1071</v>
      </c>
      <c r="C16" s="12" t="s">
        <v>78</v>
      </c>
      <c r="D16" s="12" t="s">
        <v>78</v>
      </c>
      <c r="E16" s="12" t="s">
        <v>78</v>
      </c>
      <c r="F16" s="12" t="s">
        <v>78</v>
      </c>
      <c r="G16" s="12" t="s">
        <v>78</v>
      </c>
      <c r="H16" s="12" t="s">
        <v>78</v>
      </c>
      <c r="I16" s="12" t="s">
        <v>78</v>
      </c>
      <c r="J16" s="12" t="s">
        <v>78</v>
      </c>
      <c r="K16" s="12" t="s">
        <v>78</v>
      </c>
      <c r="L16" s="12" t="s">
        <v>78</v>
      </c>
      <c r="M16" s="12" t="s">
        <v>78</v>
      </c>
      <c r="N16" s="12" t="s">
        <v>78</v>
      </c>
      <c r="O16" s="12" t="s">
        <v>78</v>
      </c>
      <c r="P16" s="12" t="s">
        <v>78</v>
      </c>
      <c r="Q16" s="12" t="s">
        <v>78</v>
      </c>
      <c r="R16" s="12" t="s">
        <v>78</v>
      </c>
      <c r="S16" s="12" t="s">
        <v>622</v>
      </c>
    </row>
    <row r="17" spans="1:19" x14ac:dyDescent="0.3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x14ac:dyDescent="0.3">
      <c r="A18" s="10" t="s">
        <v>1072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</row>
    <row r="19" spans="1:19" x14ac:dyDescent="0.3">
      <c r="A19" s="10" t="s">
        <v>1073</v>
      </c>
      <c r="B19" s="10" t="s">
        <v>776</v>
      </c>
      <c r="C19" s="14">
        <v>6</v>
      </c>
      <c r="D19" s="14">
        <v>7</v>
      </c>
      <c r="E19" s="14">
        <v>6</v>
      </c>
      <c r="F19" s="14">
        <v>6</v>
      </c>
      <c r="G19" s="14">
        <v>7</v>
      </c>
      <c r="H19" s="14">
        <v>8</v>
      </c>
      <c r="I19" s="14">
        <v>8</v>
      </c>
      <c r="J19" s="14">
        <v>8</v>
      </c>
      <c r="K19" s="14">
        <v>9</v>
      </c>
      <c r="L19" s="14">
        <v>7</v>
      </c>
      <c r="M19" s="14">
        <v>8</v>
      </c>
      <c r="N19" s="14">
        <v>8</v>
      </c>
      <c r="O19" s="14">
        <v>8</v>
      </c>
      <c r="P19" s="14">
        <v>9</v>
      </c>
      <c r="Q19" s="14">
        <v>10</v>
      </c>
      <c r="R19" s="14">
        <v>9</v>
      </c>
      <c r="S19" s="14" t="s">
        <v>65</v>
      </c>
    </row>
    <row r="20" spans="1:19" x14ac:dyDescent="0.3">
      <c r="A20" s="10" t="s">
        <v>1074</v>
      </c>
      <c r="B20" s="10" t="s">
        <v>1075</v>
      </c>
      <c r="C20" s="14">
        <v>85.713999999999999</v>
      </c>
      <c r="D20" s="14">
        <v>87.5</v>
      </c>
      <c r="E20" s="14">
        <v>85.713999999999999</v>
      </c>
      <c r="F20" s="14">
        <v>75</v>
      </c>
      <c r="G20" s="14">
        <v>87.5</v>
      </c>
      <c r="H20" s="14">
        <v>88.888999999999996</v>
      </c>
      <c r="I20" s="14">
        <v>88.888999999999996</v>
      </c>
      <c r="J20" s="14">
        <v>88.888999999999996</v>
      </c>
      <c r="K20" s="14">
        <v>90</v>
      </c>
      <c r="L20" s="14">
        <v>87.5</v>
      </c>
      <c r="M20" s="14">
        <v>88.888999999999996</v>
      </c>
      <c r="N20" s="14">
        <v>88.888999999999996</v>
      </c>
      <c r="O20" s="14">
        <v>88.888999999999996</v>
      </c>
      <c r="P20" s="14">
        <v>90</v>
      </c>
      <c r="Q20" s="14">
        <v>90.909000000000006</v>
      </c>
      <c r="R20" s="14">
        <v>100</v>
      </c>
      <c r="S20" s="14" t="s">
        <v>65</v>
      </c>
    </row>
    <row r="21" spans="1:19" x14ac:dyDescent="0.3">
      <c r="A21" s="10" t="s">
        <v>1076</v>
      </c>
      <c r="B21" s="10" t="s">
        <v>806</v>
      </c>
      <c r="C21" s="14">
        <v>5</v>
      </c>
      <c r="D21" s="14">
        <v>6</v>
      </c>
      <c r="E21" s="14">
        <v>5</v>
      </c>
      <c r="F21" s="14">
        <v>6</v>
      </c>
      <c r="G21" s="14">
        <v>6</v>
      </c>
      <c r="H21" s="14">
        <v>7</v>
      </c>
      <c r="I21" s="14">
        <v>7</v>
      </c>
      <c r="J21" s="14">
        <v>7</v>
      </c>
      <c r="K21" s="14">
        <v>8</v>
      </c>
      <c r="L21" s="14">
        <v>6</v>
      </c>
      <c r="M21" s="14">
        <v>7</v>
      </c>
      <c r="N21" s="14">
        <v>7</v>
      </c>
      <c r="O21" s="14">
        <v>7</v>
      </c>
      <c r="P21" s="14">
        <v>8</v>
      </c>
      <c r="Q21" s="14">
        <v>9</v>
      </c>
      <c r="R21" s="14">
        <v>8</v>
      </c>
      <c r="S21" s="14" t="s">
        <v>65</v>
      </c>
    </row>
    <row r="22" spans="1:19" x14ac:dyDescent="0.3">
      <c r="A22" s="10" t="s">
        <v>1077</v>
      </c>
      <c r="B22" s="10" t="s">
        <v>1078</v>
      </c>
      <c r="C22" s="14">
        <v>71.429000000000002</v>
      </c>
      <c r="D22" s="14">
        <v>75</v>
      </c>
      <c r="E22" s="14">
        <v>71.429000000000002</v>
      </c>
      <c r="F22" s="14">
        <v>75</v>
      </c>
      <c r="G22" s="14">
        <v>75</v>
      </c>
      <c r="H22" s="14">
        <v>77.778000000000006</v>
      </c>
      <c r="I22" s="14">
        <v>77.778000000000006</v>
      </c>
      <c r="J22" s="14">
        <v>77.778000000000006</v>
      </c>
      <c r="K22" s="14">
        <v>80</v>
      </c>
      <c r="L22" s="14">
        <v>75</v>
      </c>
      <c r="M22" s="14">
        <v>77.778000000000006</v>
      </c>
      <c r="N22" s="14">
        <v>77.778000000000006</v>
      </c>
      <c r="O22" s="14">
        <v>77.778000000000006</v>
      </c>
      <c r="P22" s="14">
        <v>80</v>
      </c>
      <c r="Q22" s="14">
        <v>81.817999999999998</v>
      </c>
      <c r="R22" s="14">
        <v>88.888999999999996</v>
      </c>
      <c r="S22" s="14" t="s">
        <v>65</v>
      </c>
    </row>
    <row r="23" spans="1:19" x14ac:dyDescent="0.3">
      <c r="A23" s="10" t="s">
        <v>1079</v>
      </c>
      <c r="B23" s="10" t="s">
        <v>1080</v>
      </c>
      <c r="C23" s="12" t="s">
        <v>78</v>
      </c>
      <c r="D23" s="12" t="s">
        <v>78</v>
      </c>
      <c r="E23" s="12" t="s">
        <v>78</v>
      </c>
      <c r="F23" s="12" t="s">
        <v>78</v>
      </c>
      <c r="G23" s="12" t="s">
        <v>78</v>
      </c>
      <c r="H23" s="12" t="s">
        <v>78</v>
      </c>
      <c r="I23" s="12" t="s">
        <v>78</v>
      </c>
      <c r="J23" s="12" t="s">
        <v>78</v>
      </c>
      <c r="K23" s="12" t="s">
        <v>78</v>
      </c>
      <c r="L23" s="12" t="s">
        <v>78</v>
      </c>
      <c r="M23" s="12" t="s">
        <v>78</v>
      </c>
      <c r="N23" s="12" t="s">
        <v>78</v>
      </c>
      <c r="O23" s="12" t="s">
        <v>78</v>
      </c>
      <c r="P23" s="12" t="s">
        <v>78</v>
      </c>
      <c r="Q23" s="12" t="s">
        <v>78</v>
      </c>
      <c r="R23" s="12" t="s">
        <v>78</v>
      </c>
      <c r="S23" s="12" t="s">
        <v>622</v>
      </c>
    </row>
    <row r="24" spans="1:19" x14ac:dyDescent="0.3">
      <c r="A24" s="10" t="s">
        <v>1081</v>
      </c>
      <c r="B24" s="10" t="s">
        <v>1082</v>
      </c>
      <c r="C24" s="12" t="s">
        <v>79</v>
      </c>
      <c r="D24" s="12" t="s">
        <v>79</v>
      </c>
      <c r="E24" s="12" t="s">
        <v>79</v>
      </c>
      <c r="F24" s="12" t="s">
        <v>79</v>
      </c>
      <c r="G24" s="12" t="s">
        <v>79</v>
      </c>
      <c r="H24" s="12" t="s">
        <v>79</v>
      </c>
      <c r="I24" s="12" t="s">
        <v>79</v>
      </c>
      <c r="J24" s="12" t="s">
        <v>79</v>
      </c>
      <c r="K24" s="12" t="s">
        <v>79</v>
      </c>
      <c r="L24" s="12" t="s">
        <v>79</v>
      </c>
      <c r="M24" s="12" t="s">
        <v>79</v>
      </c>
      <c r="N24" s="12" t="s">
        <v>79</v>
      </c>
      <c r="O24" s="12" t="s">
        <v>79</v>
      </c>
      <c r="P24" s="12" t="s">
        <v>79</v>
      </c>
      <c r="Q24" s="12" t="s">
        <v>79</v>
      </c>
      <c r="R24" s="12" t="s">
        <v>79</v>
      </c>
      <c r="S24" s="12" t="s">
        <v>622</v>
      </c>
    </row>
    <row r="25" spans="1:19" x14ac:dyDescent="0.3">
      <c r="A25" s="10" t="s">
        <v>1083</v>
      </c>
      <c r="B25" s="10" t="s">
        <v>1084</v>
      </c>
      <c r="C25" s="12" t="s">
        <v>78</v>
      </c>
      <c r="D25" s="12" t="s">
        <v>78</v>
      </c>
      <c r="E25" s="12" t="s">
        <v>78</v>
      </c>
      <c r="F25" s="12" t="s">
        <v>78</v>
      </c>
      <c r="G25" s="12" t="s">
        <v>78</v>
      </c>
      <c r="H25" s="12" t="s">
        <v>78</v>
      </c>
      <c r="I25" s="12" t="s">
        <v>78</v>
      </c>
      <c r="J25" s="12" t="s">
        <v>78</v>
      </c>
      <c r="K25" s="12" t="s">
        <v>78</v>
      </c>
      <c r="L25" s="12" t="s">
        <v>78</v>
      </c>
      <c r="M25" s="12" t="s">
        <v>78</v>
      </c>
      <c r="N25" s="12" t="s">
        <v>78</v>
      </c>
      <c r="O25" s="12" t="s">
        <v>78</v>
      </c>
      <c r="P25" s="12" t="s">
        <v>78</v>
      </c>
      <c r="Q25" s="12" t="s">
        <v>78</v>
      </c>
      <c r="R25" s="12" t="s">
        <v>78</v>
      </c>
      <c r="S25" s="12" t="s">
        <v>622</v>
      </c>
    </row>
    <row r="26" spans="1:19" x14ac:dyDescent="0.3">
      <c r="A26" s="10" t="s">
        <v>1085</v>
      </c>
      <c r="B26" s="10" t="s">
        <v>1086</v>
      </c>
      <c r="C26" s="12" t="s">
        <v>78</v>
      </c>
      <c r="D26" s="12" t="s">
        <v>78</v>
      </c>
      <c r="E26" s="12" t="s">
        <v>78</v>
      </c>
      <c r="F26" s="12" t="s">
        <v>78</v>
      </c>
      <c r="G26" s="12" t="s">
        <v>78</v>
      </c>
      <c r="H26" s="12" t="s">
        <v>78</v>
      </c>
      <c r="I26" s="12" t="s">
        <v>78</v>
      </c>
      <c r="J26" s="12" t="s">
        <v>78</v>
      </c>
      <c r="K26" s="12" t="s">
        <v>78</v>
      </c>
      <c r="L26" s="12" t="s">
        <v>78</v>
      </c>
      <c r="M26" s="12" t="s">
        <v>78</v>
      </c>
      <c r="N26" s="12" t="s">
        <v>78</v>
      </c>
      <c r="O26" s="12" t="s">
        <v>78</v>
      </c>
      <c r="P26" s="12" t="s">
        <v>78</v>
      </c>
      <c r="Q26" s="12" t="s">
        <v>78</v>
      </c>
      <c r="R26" s="12" t="s">
        <v>78</v>
      </c>
      <c r="S26" s="12" t="s">
        <v>622</v>
      </c>
    </row>
    <row r="27" spans="1:19" x14ac:dyDescent="0.3">
      <c r="A27" s="10" t="s">
        <v>1087</v>
      </c>
      <c r="B27" s="10" t="s">
        <v>1088</v>
      </c>
      <c r="C27" s="12" t="s">
        <v>78</v>
      </c>
      <c r="D27" s="12" t="s">
        <v>78</v>
      </c>
      <c r="E27" s="12" t="s">
        <v>78</v>
      </c>
      <c r="F27" s="12" t="s">
        <v>78</v>
      </c>
      <c r="G27" s="12" t="s">
        <v>78</v>
      </c>
      <c r="H27" s="12" t="s">
        <v>78</v>
      </c>
      <c r="I27" s="12" t="s">
        <v>78</v>
      </c>
      <c r="J27" s="12" t="s">
        <v>78</v>
      </c>
      <c r="K27" s="12" t="s">
        <v>78</v>
      </c>
      <c r="L27" s="12" t="s">
        <v>78</v>
      </c>
      <c r="M27" s="12" t="s">
        <v>78</v>
      </c>
      <c r="N27" s="12" t="s">
        <v>78</v>
      </c>
      <c r="O27" s="12" t="s">
        <v>78</v>
      </c>
      <c r="P27" s="12" t="s">
        <v>78</v>
      </c>
      <c r="Q27" s="12" t="s">
        <v>78</v>
      </c>
      <c r="R27" s="12" t="s">
        <v>78</v>
      </c>
      <c r="S27" s="12" t="s">
        <v>622</v>
      </c>
    </row>
    <row r="28" spans="1:19" x14ac:dyDescent="0.3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19" x14ac:dyDescent="0.3">
      <c r="A29" s="10" t="s">
        <v>1089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x14ac:dyDescent="0.3">
      <c r="A30" s="10" t="s">
        <v>1090</v>
      </c>
      <c r="B30" s="10" t="s">
        <v>797</v>
      </c>
      <c r="C30" s="14">
        <v>0</v>
      </c>
      <c r="D30" s="14">
        <v>1</v>
      </c>
      <c r="E30" s="14">
        <v>1</v>
      </c>
      <c r="F30" s="14">
        <v>1</v>
      </c>
      <c r="G30" s="14">
        <v>1</v>
      </c>
      <c r="H30" s="14">
        <v>2</v>
      </c>
      <c r="I30" s="14">
        <v>2</v>
      </c>
      <c r="J30" s="14">
        <v>2</v>
      </c>
      <c r="K30" s="14">
        <v>2</v>
      </c>
      <c r="L30" s="14">
        <v>2</v>
      </c>
      <c r="M30" s="14">
        <v>2</v>
      </c>
      <c r="N30" s="14">
        <v>2</v>
      </c>
      <c r="O30" s="14">
        <v>2</v>
      </c>
      <c r="P30" s="14">
        <v>2</v>
      </c>
      <c r="Q30" s="14">
        <v>4</v>
      </c>
      <c r="R30" s="14">
        <v>3</v>
      </c>
      <c r="S30" s="14" t="s">
        <v>65</v>
      </c>
    </row>
    <row r="31" spans="1:19" x14ac:dyDescent="0.3">
      <c r="A31" s="10" t="s">
        <v>1091</v>
      </c>
      <c r="B31" s="10" t="s">
        <v>1092</v>
      </c>
      <c r="C31" s="14">
        <v>0</v>
      </c>
      <c r="D31" s="14">
        <v>12.5</v>
      </c>
      <c r="E31" s="14">
        <v>14.286</v>
      </c>
      <c r="F31" s="14">
        <v>12.5</v>
      </c>
      <c r="G31" s="14">
        <v>12.5</v>
      </c>
      <c r="H31" s="14">
        <v>22.222000000000001</v>
      </c>
      <c r="I31" s="14">
        <v>22.222000000000001</v>
      </c>
      <c r="J31" s="14">
        <v>22.222000000000001</v>
      </c>
      <c r="K31" s="14">
        <v>20</v>
      </c>
      <c r="L31" s="14">
        <v>25</v>
      </c>
      <c r="M31" s="14">
        <v>22.222000000000001</v>
      </c>
      <c r="N31" s="14">
        <v>22.222000000000001</v>
      </c>
      <c r="O31" s="14">
        <v>22.222000000000001</v>
      </c>
      <c r="P31" s="14">
        <v>20</v>
      </c>
      <c r="Q31" s="14">
        <v>36.363999999999997</v>
      </c>
      <c r="R31" s="14">
        <v>33.332999999999998</v>
      </c>
      <c r="S31" s="14" t="s">
        <v>65</v>
      </c>
    </row>
    <row r="32" spans="1:19" x14ac:dyDescent="0.3">
      <c r="A32" s="10" t="s">
        <v>1093</v>
      </c>
      <c r="B32" s="10" t="s">
        <v>1094</v>
      </c>
      <c r="C32" s="12" t="s">
        <v>78</v>
      </c>
      <c r="D32" s="12" t="s">
        <v>78</v>
      </c>
      <c r="E32" s="12" t="s">
        <v>78</v>
      </c>
      <c r="F32" s="12" t="s">
        <v>78</v>
      </c>
      <c r="G32" s="12" t="s">
        <v>78</v>
      </c>
      <c r="H32" s="12" t="s">
        <v>78</v>
      </c>
      <c r="I32" s="12" t="s">
        <v>78</v>
      </c>
      <c r="J32" s="12" t="s">
        <v>78</v>
      </c>
      <c r="K32" s="12" t="s">
        <v>78</v>
      </c>
      <c r="L32" s="12" t="s">
        <v>78</v>
      </c>
      <c r="M32" s="12" t="s">
        <v>78</v>
      </c>
      <c r="N32" s="12" t="s">
        <v>78</v>
      </c>
      <c r="O32" s="12" t="s">
        <v>78</v>
      </c>
      <c r="P32" s="12" t="s">
        <v>78</v>
      </c>
      <c r="Q32" s="12" t="s">
        <v>78</v>
      </c>
      <c r="R32" s="12" t="s">
        <v>78</v>
      </c>
      <c r="S32" s="12" t="s">
        <v>622</v>
      </c>
    </row>
    <row r="33" spans="1:19" x14ac:dyDescent="0.3">
      <c r="A33" s="10" t="s">
        <v>1095</v>
      </c>
      <c r="B33" s="10" t="s">
        <v>1096</v>
      </c>
      <c r="C33" s="12" t="s">
        <v>78</v>
      </c>
      <c r="D33" s="12" t="s">
        <v>78</v>
      </c>
      <c r="E33" s="12" t="s">
        <v>78</v>
      </c>
      <c r="F33" s="12" t="s">
        <v>78</v>
      </c>
      <c r="G33" s="12" t="s">
        <v>78</v>
      </c>
      <c r="H33" s="12" t="s">
        <v>78</v>
      </c>
      <c r="I33" s="12" t="s">
        <v>78</v>
      </c>
      <c r="J33" s="12" t="s">
        <v>78</v>
      </c>
      <c r="K33" s="12" t="s">
        <v>78</v>
      </c>
      <c r="L33" s="12" t="s">
        <v>78</v>
      </c>
      <c r="M33" s="12" t="s">
        <v>78</v>
      </c>
      <c r="N33" s="12" t="s">
        <v>78</v>
      </c>
      <c r="O33" s="12" t="s">
        <v>78</v>
      </c>
      <c r="P33" s="12" t="s">
        <v>78</v>
      </c>
      <c r="Q33" s="12" t="s">
        <v>78</v>
      </c>
      <c r="R33" s="12" t="s">
        <v>78</v>
      </c>
      <c r="S33" s="12" t="s">
        <v>622</v>
      </c>
    </row>
    <row r="34" spans="1:19" x14ac:dyDescent="0.3">
      <c r="A34" s="10" t="s">
        <v>1097</v>
      </c>
      <c r="B34" s="10" t="s">
        <v>774</v>
      </c>
      <c r="C34" s="14">
        <v>11</v>
      </c>
      <c r="D34" s="14">
        <v>10</v>
      </c>
      <c r="E34" s="14">
        <v>10</v>
      </c>
      <c r="F34" s="14">
        <v>8</v>
      </c>
      <c r="G34" s="14">
        <v>7</v>
      </c>
      <c r="H34" s="14">
        <v>7</v>
      </c>
      <c r="I34" s="14">
        <v>7</v>
      </c>
      <c r="J34" s="14">
        <v>7</v>
      </c>
      <c r="K34" s="14">
        <v>8</v>
      </c>
      <c r="L34" s="14">
        <v>6</v>
      </c>
      <c r="M34" s="14">
        <v>6</v>
      </c>
      <c r="N34" s="14">
        <v>6</v>
      </c>
      <c r="O34" s="14">
        <v>5</v>
      </c>
      <c r="P34" s="14">
        <v>4</v>
      </c>
      <c r="Q34" s="14">
        <v>5</v>
      </c>
      <c r="R34" s="14">
        <v>5</v>
      </c>
      <c r="S34" s="14" t="s">
        <v>65</v>
      </c>
    </row>
    <row r="35" spans="1:19" x14ac:dyDescent="0.3">
      <c r="A35" s="10" t="s">
        <v>1098</v>
      </c>
      <c r="B35" s="10" t="s">
        <v>1099</v>
      </c>
      <c r="C35" s="12" t="s">
        <v>79</v>
      </c>
      <c r="D35" s="12" t="s">
        <v>79</v>
      </c>
      <c r="E35" s="12" t="s">
        <v>79</v>
      </c>
      <c r="F35" s="12" t="s">
        <v>79</v>
      </c>
      <c r="G35" s="12" t="s">
        <v>79</v>
      </c>
      <c r="H35" s="12" t="s">
        <v>79</v>
      </c>
      <c r="I35" s="12" t="s">
        <v>79</v>
      </c>
      <c r="J35" s="12" t="s">
        <v>78</v>
      </c>
      <c r="K35" s="12" t="s">
        <v>78</v>
      </c>
      <c r="L35" s="12" t="s">
        <v>78</v>
      </c>
      <c r="M35" s="12" t="s">
        <v>78</v>
      </c>
      <c r="N35" s="12" t="s">
        <v>78</v>
      </c>
      <c r="O35" s="12" t="s">
        <v>78</v>
      </c>
      <c r="P35" s="12" t="s">
        <v>78</v>
      </c>
      <c r="Q35" s="12" t="s">
        <v>78</v>
      </c>
      <c r="R35" s="12" t="s">
        <v>78</v>
      </c>
      <c r="S35" s="12" t="s">
        <v>622</v>
      </c>
    </row>
    <row r="36" spans="1:19" x14ac:dyDescent="0.3">
      <c r="A36" s="10" t="s">
        <v>1100</v>
      </c>
      <c r="B36" s="10" t="s">
        <v>795</v>
      </c>
      <c r="C36" s="14">
        <v>2</v>
      </c>
      <c r="D36" s="14">
        <v>2</v>
      </c>
      <c r="E36" s="14">
        <v>2</v>
      </c>
      <c r="F36" s="14">
        <v>2</v>
      </c>
      <c r="G36" s="14">
        <v>2</v>
      </c>
      <c r="H36" s="14">
        <v>2</v>
      </c>
      <c r="I36" s="14">
        <v>1</v>
      </c>
      <c r="J36" s="14">
        <v>1</v>
      </c>
      <c r="K36" s="14">
        <v>1</v>
      </c>
      <c r="L36" s="14">
        <v>1</v>
      </c>
      <c r="M36" s="14">
        <v>1</v>
      </c>
      <c r="N36" s="14">
        <v>1</v>
      </c>
      <c r="O36" s="14">
        <v>1</v>
      </c>
      <c r="P36" s="14">
        <v>0</v>
      </c>
      <c r="Q36" s="14">
        <v>0</v>
      </c>
      <c r="R36" s="14">
        <v>0</v>
      </c>
      <c r="S36" s="14" t="s">
        <v>65</v>
      </c>
    </row>
    <row r="37" spans="1:19" x14ac:dyDescent="0.3">
      <c r="A37" s="10" t="s">
        <v>1101</v>
      </c>
      <c r="B37" s="10" t="s">
        <v>1102</v>
      </c>
      <c r="C37" s="14">
        <v>18.181999999999999</v>
      </c>
      <c r="D37" s="14">
        <v>20</v>
      </c>
      <c r="E37" s="14">
        <v>20</v>
      </c>
      <c r="F37" s="14">
        <v>25</v>
      </c>
      <c r="G37" s="14">
        <v>28.571000000000002</v>
      </c>
      <c r="H37" s="14">
        <v>28.571000000000002</v>
      </c>
      <c r="I37" s="14">
        <v>14.286</v>
      </c>
      <c r="J37" s="14">
        <v>14.286</v>
      </c>
      <c r="K37" s="14">
        <v>12.5</v>
      </c>
      <c r="L37" s="14">
        <v>16.667000000000002</v>
      </c>
      <c r="M37" s="14">
        <v>16.667000000000002</v>
      </c>
      <c r="N37" s="14">
        <v>16.667000000000002</v>
      </c>
      <c r="O37" s="14">
        <v>20</v>
      </c>
      <c r="P37" s="14">
        <v>0</v>
      </c>
      <c r="Q37" s="14">
        <v>0</v>
      </c>
      <c r="R37" s="14">
        <v>0</v>
      </c>
      <c r="S37" s="14" t="s">
        <v>65</v>
      </c>
    </row>
    <row r="38" spans="1:19" x14ac:dyDescent="0.3">
      <c r="A38" s="10" t="s">
        <v>800</v>
      </c>
      <c r="B38" s="10" t="s">
        <v>801</v>
      </c>
      <c r="C38" s="14">
        <v>60</v>
      </c>
      <c r="D38" s="14">
        <v>55</v>
      </c>
      <c r="E38" s="14">
        <v>56</v>
      </c>
      <c r="F38" s="14">
        <v>57</v>
      </c>
      <c r="G38" s="14">
        <v>48</v>
      </c>
      <c r="H38" s="14">
        <v>49</v>
      </c>
      <c r="I38" s="14">
        <v>50</v>
      </c>
      <c r="J38" s="14">
        <v>51</v>
      </c>
      <c r="K38" s="14">
        <v>52</v>
      </c>
      <c r="L38" s="14">
        <v>43</v>
      </c>
      <c r="M38" s="14">
        <v>44</v>
      </c>
      <c r="N38" s="14">
        <v>45</v>
      </c>
      <c r="O38" s="14">
        <v>46</v>
      </c>
      <c r="P38" s="14">
        <v>47</v>
      </c>
      <c r="Q38" s="14">
        <v>48</v>
      </c>
      <c r="R38" s="14">
        <v>53</v>
      </c>
      <c r="S38" s="14" t="s">
        <v>65</v>
      </c>
    </row>
    <row r="39" spans="1:19" x14ac:dyDescent="0.3">
      <c r="A39" s="10" t="s">
        <v>802</v>
      </c>
      <c r="B39" s="10" t="s">
        <v>803</v>
      </c>
      <c r="C39" s="14">
        <v>73</v>
      </c>
      <c r="D39" s="14">
        <v>74</v>
      </c>
      <c r="E39" s="14">
        <v>75</v>
      </c>
      <c r="F39" s="14">
        <v>76</v>
      </c>
      <c r="G39" s="14">
        <v>71</v>
      </c>
      <c r="H39" s="14">
        <v>72</v>
      </c>
      <c r="I39" s="14">
        <v>73</v>
      </c>
      <c r="J39" s="14">
        <v>74</v>
      </c>
      <c r="K39" s="14">
        <v>75</v>
      </c>
      <c r="L39" s="14">
        <v>76</v>
      </c>
      <c r="M39" s="14">
        <v>77</v>
      </c>
      <c r="N39" s="14">
        <v>78</v>
      </c>
      <c r="O39" s="14">
        <v>75</v>
      </c>
      <c r="P39" s="14">
        <v>76</v>
      </c>
      <c r="Q39" s="14">
        <v>72</v>
      </c>
      <c r="R39" s="14">
        <v>73</v>
      </c>
      <c r="S39" s="14" t="s">
        <v>65</v>
      </c>
    </row>
    <row r="40" spans="1:19" x14ac:dyDescent="0.3">
      <c r="A40" s="10" t="s">
        <v>1103</v>
      </c>
      <c r="B40" s="10" t="s">
        <v>1104</v>
      </c>
      <c r="C40" s="14">
        <v>13</v>
      </c>
      <c r="D40" s="14">
        <v>19</v>
      </c>
      <c r="E40" s="14">
        <v>19</v>
      </c>
      <c r="F40" s="14">
        <v>19</v>
      </c>
      <c r="G40" s="14">
        <v>23</v>
      </c>
      <c r="H40" s="14">
        <v>23</v>
      </c>
      <c r="I40" s="14">
        <v>23</v>
      </c>
      <c r="J40" s="14">
        <v>23</v>
      </c>
      <c r="K40" s="14">
        <v>23</v>
      </c>
      <c r="L40" s="14">
        <v>33</v>
      </c>
      <c r="M40" s="14">
        <v>33</v>
      </c>
      <c r="N40" s="14">
        <v>33</v>
      </c>
      <c r="O40" s="14">
        <v>29</v>
      </c>
      <c r="P40" s="14">
        <v>29</v>
      </c>
      <c r="Q40" s="14">
        <v>24</v>
      </c>
      <c r="R40" s="14">
        <v>20</v>
      </c>
      <c r="S40" s="14" t="s">
        <v>65</v>
      </c>
    </row>
    <row r="41" spans="1:19" x14ac:dyDescent="0.3">
      <c r="A41" s="10" t="s">
        <v>1105</v>
      </c>
      <c r="B41" s="10" t="s">
        <v>1106</v>
      </c>
      <c r="C41" s="14">
        <v>66</v>
      </c>
      <c r="D41" s="14">
        <v>65.5</v>
      </c>
      <c r="E41" s="14">
        <v>65.143000000000001</v>
      </c>
      <c r="F41" s="14">
        <v>65.375</v>
      </c>
      <c r="G41" s="14">
        <v>62.75</v>
      </c>
      <c r="H41" s="14">
        <v>63.667000000000002</v>
      </c>
      <c r="I41" s="14">
        <v>64.667000000000002</v>
      </c>
      <c r="J41" s="14">
        <v>64</v>
      </c>
      <c r="K41" s="14">
        <v>64.7</v>
      </c>
      <c r="L41" s="14">
        <v>63.5</v>
      </c>
      <c r="M41" s="14">
        <v>63.444000000000003</v>
      </c>
      <c r="N41" s="14">
        <v>64.111000000000004</v>
      </c>
      <c r="O41" s="14">
        <v>64.111000000000004</v>
      </c>
      <c r="P41" s="14">
        <v>63.8</v>
      </c>
      <c r="Q41" s="14">
        <v>62.273000000000003</v>
      </c>
      <c r="R41" s="14">
        <v>63.777999999999999</v>
      </c>
      <c r="S41" s="14" t="s">
        <v>65</v>
      </c>
    </row>
    <row r="42" spans="1:19" x14ac:dyDescent="0.3">
      <c r="A42" s="10" t="s">
        <v>1107</v>
      </c>
      <c r="B42" s="10" t="s">
        <v>1108</v>
      </c>
      <c r="C42" s="14" t="s">
        <v>65</v>
      </c>
      <c r="D42" s="14" t="s">
        <v>65</v>
      </c>
      <c r="E42" s="14" t="s">
        <v>65</v>
      </c>
      <c r="F42" s="14" t="s">
        <v>65</v>
      </c>
      <c r="G42" s="14" t="s">
        <v>65</v>
      </c>
      <c r="H42" s="14" t="s">
        <v>65</v>
      </c>
      <c r="I42" s="14" t="s">
        <v>65</v>
      </c>
      <c r="J42" s="14" t="s">
        <v>65</v>
      </c>
      <c r="K42" s="14" t="s">
        <v>65</v>
      </c>
      <c r="L42" s="14" t="s">
        <v>65</v>
      </c>
      <c r="M42" s="14" t="s">
        <v>65</v>
      </c>
      <c r="N42" s="14" t="s">
        <v>65</v>
      </c>
      <c r="O42" s="14" t="s">
        <v>65</v>
      </c>
      <c r="P42" s="14">
        <v>33</v>
      </c>
      <c r="Q42" s="14">
        <v>30</v>
      </c>
      <c r="R42" s="14">
        <v>33.333300000000001</v>
      </c>
      <c r="S42" s="14" t="s">
        <v>65</v>
      </c>
    </row>
    <row r="43" spans="1:19" x14ac:dyDescent="0.3">
      <c r="A43" s="10" t="s">
        <v>1109</v>
      </c>
      <c r="B43" s="10" t="s">
        <v>1110</v>
      </c>
      <c r="C43" s="14" t="s">
        <v>65</v>
      </c>
      <c r="D43" s="14" t="s">
        <v>65</v>
      </c>
      <c r="E43" s="14" t="s">
        <v>65</v>
      </c>
      <c r="F43" s="14" t="s">
        <v>65</v>
      </c>
      <c r="G43" s="14" t="s">
        <v>65</v>
      </c>
      <c r="H43" s="14" t="s">
        <v>65</v>
      </c>
      <c r="I43" s="14" t="s">
        <v>65</v>
      </c>
      <c r="J43" s="14" t="s">
        <v>65</v>
      </c>
      <c r="K43" s="14" t="s">
        <v>65</v>
      </c>
      <c r="L43" s="14" t="s">
        <v>65</v>
      </c>
      <c r="M43" s="14" t="s">
        <v>65</v>
      </c>
      <c r="N43" s="14" t="s">
        <v>65</v>
      </c>
      <c r="O43" s="14" t="s">
        <v>65</v>
      </c>
      <c r="P43" s="14">
        <v>1</v>
      </c>
      <c r="Q43" s="14">
        <v>1</v>
      </c>
      <c r="R43" s="14">
        <v>1</v>
      </c>
      <c r="S43" s="14" t="s">
        <v>65</v>
      </c>
    </row>
    <row r="44" spans="1:19" x14ac:dyDescent="0.3">
      <c r="A44" s="10" t="s">
        <v>1111</v>
      </c>
      <c r="B44" s="10" t="s">
        <v>1112</v>
      </c>
      <c r="C44" s="14" t="s">
        <v>65</v>
      </c>
      <c r="D44" s="14" t="s">
        <v>65</v>
      </c>
      <c r="E44" s="14" t="s">
        <v>65</v>
      </c>
      <c r="F44" s="14" t="s">
        <v>65</v>
      </c>
      <c r="G44" s="14" t="s">
        <v>65</v>
      </c>
      <c r="H44" s="14" t="s">
        <v>65</v>
      </c>
      <c r="I44" s="14" t="s">
        <v>65</v>
      </c>
      <c r="J44" s="14" t="s">
        <v>65</v>
      </c>
      <c r="K44" s="14" t="s">
        <v>65</v>
      </c>
      <c r="L44" s="14" t="s">
        <v>65</v>
      </c>
      <c r="M44" s="14" t="s">
        <v>65</v>
      </c>
      <c r="N44" s="14" t="s">
        <v>65</v>
      </c>
      <c r="O44" s="14" t="s">
        <v>65</v>
      </c>
      <c r="P44" s="14">
        <v>3.3</v>
      </c>
      <c r="Q44" s="14">
        <v>3</v>
      </c>
      <c r="R44" s="14">
        <v>3</v>
      </c>
      <c r="S44" s="14" t="s">
        <v>65</v>
      </c>
    </row>
    <row r="45" spans="1:19" x14ac:dyDescent="0.3">
      <c r="A45" s="10" t="s">
        <v>798</v>
      </c>
      <c r="B45" s="10" t="s">
        <v>799</v>
      </c>
      <c r="C45" s="14" t="s">
        <v>65</v>
      </c>
      <c r="D45" s="14" t="s">
        <v>65</v>
      </c>
      <c r="E45" s="14" t="s">
        <v>65</v>
      </c>
      <c r="F45" s="14">
        <v>75</v>
      </c>
      <c r="G45" s="14">
        <v>75</v>
      </c>
      <c r="H45" s="14">
        <v>75</v>
      </c>
      <c r="I45" s="14">
        <v>75</v>
      </c>
      <c r="J45" s="14">
        <v>75</v>
      </c>
      <c r="K45" s="14">
        <v>75</v>
      </c>
      <c r="L45" s="14">
        <v>75</v>
      </c>
      <c r="M45" s="14">
        <v>75</v>
      </c>
      <c r="N45" s="14">
        <v>75</v>
      </c>
      <c r="O45" s="14">
        <v>75</v>
      </c>
      <c r="P45" s="14">
        <v>75</v>
      </c>
      <c r="Q45" s="14">
        <v>75</v>
      </c>
      <c r="R45" s="14">
        <v>75</v>
      </c>
      <c r="S45" s="14" t="s">
        <v>65</v>
      </c>
    </row>
    <row r="46" spans="1:19" x14ac:dyDescent="0.3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1:19" x14ac:dyDescent="0.3">
      <c r="A47" s="10" t="s">
        <v>1113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1:19" x14ac:dyDescent="0.3">
      <c r="A48" s="10" t="s">
        <v>1114</v>
      </c>
      <c r="B48" s="10" t="s">
        <v>778</v>
      </c>
      <c r="C48" s="14">
        <v>6</v>
      </c>
      <c r="D48" s="14">
        <v>8</v>
      </c>
      <c r="E48" s="14">
        <v>8</v>
      </c>
      <c r="F48" s="14">
        <v>12</v>
      </c>
      <c r="G48" s="14">
        <v>9</v>
      </c>
      <c r="H48" s="14">
        <v>9</v>
      </c>
      <c r="I48" s="14">
        <v>9</v>
      </c>
      <c r="J48" s="14">
        <v>8</v>
      </c>
      <c r="K48" s="14">
        <v>8</v>
      </c>
      <c r="L48" s="14">
        <v>9</v>
      </c>
      <c r="M48" s="14">
        <v>10</v>
      </c>
      <c r="N48" s="14">
        <v>9</v>
      </c>
      <c r="O48" s="14">
        <v>8</v>
      </c>
      <c r="P48" s="14">
        <v>13</v>
      </c>
      <c r="Q48" s="14">
        <v>8</v>
      </c>
      <c r="R48" s="14">
        <v>9</v>
      </c>
      <c r="S48" s="14" t="s">
        <v>65</v>
      </c>
    </row>
    <row r="49" spans="1:19" x14ac:dyDescent="0.3">
      <c r="A49" s="10" t="s">
        <v>1115</v>
      </c>
      <c r="B49" s="10" t="s">
        <v>780</v>
      </c>
      <c r="C49" s="14">
        <v>90.9</v>
      </c>
      <c r="D49" s="14">
        <v>93.75</v>
      </c>
      <c r="E49" s="14">
        <v>100</v>
      </c>
      <c r="F49" s="14">
        <v>97.78</v>
      </c>
      <c r="G49" s="14">
        <v>97.53</v>
      </c>
      <c r="H49" s="14">
        <v>97.53</v>
      </c>
      <c r="I49" s="14">
        <v>98.76</v>
      </c>
      <c r="J49" s="14">
        <v>97.22</v>
      </c>
      <c r="K49" s="14">
        <v>98.64</v>
      </c>
      <c r="L49" s="14">
        <v>96</v>
      </c>
      <c r="M49" s="14">
        <v>100</v>
      </c>
      <c r="N49" s="14">
        <v>96.63</v>
      </c>
      <c r="O49" s="14">
        <v>98.6</v>
      </c>
      <c r="P49" s="14">
        <v>98.35</v>
      </c>
      <c r="Q49" s="14">
        <v>98.7</v>
      </c>
      <c r="R49" s="14">
        <v>100</v>
      </c>
      <c r="S49" s="14" t="s">
        <v>65</v>
      </c>
    </row>
    <row r="50" spans="1:19" x14ac:dyDescent="0.3">
      <c r="A50" s="10" t="s">
        <v>1116</v>
      </c>
      <c r="B50" s="10" t="s">
        <v>1117</v>
      </c>
      <c r="C50" s="14">
        <v>90.625</v>
      </c>
      <c r="D50" s="14">
        <v>91.667000000000002</v>
      </c>
      <c r="E50" s="14">
        <v>100</v>
      </c>
      <c r="F50" s="14">
        <v>100</v>
      </c>
      <c r="G50" s="14">
        <v>98.14</v>
      </c>
      <c r="H50" s="14">
        <v>98.41</v>
      </c>
      <c r="I50" s="14">
        <v>100</v>
      </c>
      <c r="J50" s="14">
        <v>98.36</v>
      </c>
      <c r="K50" s="14">
        <v>100</v>
      </c>
      <c r="L50" s="14">
        <v>95.94</v>
      </c>
      <c r="M50" s="14">
        <v>100</v>
      </c>
      <c r="N50" s="14">
        <v>97.18</v>
      </c>
      <c r="O50" s="14">
        <v>100</v>
      </c>
      <c r="P50" s="14">
        <v>97.89</v>
      </c>
      <c r="Q50" s="14">
        <v>100</v>
      </c>
      <c r="R50" s="14">
        <v>100</v>
      </c>
      <c r="S50" s="14" t="s">
        <v>65</v>
      </c>
    </row>
    <row r="51" spans="1:19" x14ac:dyDescent="0.3">
      <c r="A51" s="10" t="s">
        <v>1118</v>
      </c>
      <c r="B51" s="10" t="s">
        <v>1119</v>
      </c>
      <c r="C51" s="14">
        <v>0</v>
      </c>
      <c r="D51" s="14">
        <v>1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1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 t="s">
        <v>65</v>
      </c>
    </row>
    <row r="52" spans="1:19" x14ac:dyDescent="0.3">
      <c r="A52" s="10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</row>
    <row r="53" spans="1:19" x14ac:dyDescent="0.3">
      <c r="A53" s="10" t="s">
        <v>1120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  <row r="54" spans="1:19" x14ac:dyDescent="0.3">
      <c r="A54" s="10" t="s">
        <v>760</v>
      </c>
      <c r="B54" s="10" t="s">
        <v>761</v>
      </c>
      <c r="C54" s="14">
        <v>3</v>
      </c>
      <c r="D54" s="14">
        <v>3</v>
      </c>
      <c r="E54" s="14">
        <v>5</v>
      </c>
      <c r="F54" s="14">
        <v>6</v>
      </c>
      <c r="G54" s="14">
        <v>6</v>
      </c>
      <c r="H54" s="14">
        <v>7</v>
      </c>
      <c r="I54" s="14">
        <v>7</v>
      </c>
      <c r="J54" s="14">
        <v>7</v>
      </c>
      <c r="K54" s="14">
        <v>8</v>
      </c>
      <c r="L54" s="14">
        <v>6</v>
      </c>
      <c r="M54" s="14">
        <v>7</v>
      </c>
      <c r="N54" s="14">
        <v>7</v>
      </c>
      <c r="O54" s="14">
        <v>7</v>
      </c>
      <c r="P54" s="14">
        <v>8</v>
      </c>
      <c r="Q54" s="14">
        <v>8</v>
      </c>
      <c r="R54" s="14">
        <v>8</v>
      </c>
      <c r="S54" s="14" t="s">
        <v>65</v>
      </c>
    </row>
    <row r="55" spans="1:19" x14ac:dyDescent="0.3">
      <c r="A55" s="10" t="s">
        <v>1121</v>
      </c>
      <c r="B55" s="10" t="s">
        <v>763</v>
      </c>
      <c r="C55" s="14">
        <v>3</v>
      </c>
      <c r="D55" s="14">
        <v>3</v>
      </c>
      <c r="E55" s="14">
        <v>5</v>
      </c>
      <c r="F55" s="14">
        <v>6</v>
      </c>
      <c r="G55" s="14">
        <v>6</v>
      </c>
      <c r="H55" s="14">
        <v>7</v>
      </c>
      <c r="I55" s="14">
        <v>7</v>
      </c>
      <c r="J55" s="14">
        <v>7</v>
      </c>
      <c r="K55" s="14">
        <v>8</v>
      </c>
      <c r="L55" s="14">
        <v>6</v>
      </c>
      <c r="M55" s="14">
        <v>7</v>
      </c>
      <c r="N55" s="14">
        <v>7</v>
      </c>
      <c r="O55" s="14">
        <v>7</v>
      </c>
      <c r="P55" s="14">
        <v>8</v>
      </c>
      <c r="Q55" s="14">
        <v>8</v>
      </c>
      <c r="R55" s="14">
        <v>8</v>
      </c>
      <c r="S55" s="14" t="s">
        <v>65</v>
      </c>
    </row>
    <row r="56" spans="1:19" x14ac:dyDescent="0.3">
      <c r="A56" s="10" t="s">
        <v>1122</v>
      </c>
      <c r="B56" s="10" t="s">
        <v>1123</v>
      </c>
      <c r="C56" s="14">
        <v>100</v>
      </c>
      <c r="D56" s="14">
        <v>100</v>
      </c>
      <c r="E56" s="14">
        <v>100</v>
      </c>
      <c r="F56" s="14">
        <v>100</v>
      </c>
      <c r="G56" s="14">
        <v>100</v>
      </c>
      <c r="H56" s="14">
        <v>100</v>
      </c>
      <c r="I56" s="14">
        <v>100</v>
      </c>
      <c r="J56" s="14">
        <v>100</v>
      </c>
      <c r="K56" s="14">
        <v>100</v>
      </c>
      <c r="L56" s="14">
        <v>100</v>
      </c>
      <c r="M56" s="14">
        <v>100</v>
      </c>
      <c r="N56" s="14">
        <v>100</v>
      </c>
      <c r="O56" s="14">
        <v>100</v>
      </c>
      <c r="P56" s="14">
        <v>100</v>
      </c>
      <c r="Q56" s="14">
        <v>100</v>
      </c>
      <c r="R56" s="14">
        <v>100</v>
      </c>
      <c r="S56" s="14" t="s">
        <v>65</v>
      </c>
    </row>
    <row r="57" spans="1:19" x14ac:dyDescent="0.3">
      <c r="A57" s="10" t="s">
        <v>1124</v>
      </c>
      <c r="B57" s="10" t="s">
        <v>1125</v>
      </c>
      <c r="C57" s="12" t="s">
        <v>79</v>
      </c>
      <c r="D57" s="12" t="s">
        <v>79</v>
      </c>
      <c r="E57" s="12" t="s">
        <v>79</v>
      </c>
      <c r="F57" s="12" t="s">
        <v>79</v>
      </c>
      <c r="G57" s="12" t="s">
        <v>79</v>
      </c>
      <c r="H57" s="12" t="s">
        <v>79</v>
      </c>
      <c r="I57" s="12" t="s">
        <v>79</v>
      </c>
      <c r="J57" s="12" t="s">
        <v>79</v>
      </c>
      <c r="K57" s="12" t="s">
        <v>79</v>
      </c>
      <c r="L57" s="12" t="s">
        <v>79</v>
      </c>
      <c r="M57" s="12" t="s">
        <v>79</v>
      </c>
      <c r="N57" s="12" t="s">
        <v>79</v>
      </c>
      <c r="O57" s="12" t="s">
        <v>79</v>
      </c>
      <c r="P57" s="12" t="s">
        <v>79</v>
      </c>
      <c r="Q57" s="12" t="s">
        <v>79</v>
      </c>
      <c r="R57" s="12" t="s">
        <v>79</v>
      </c>
      <c r="S57" s="12" t="s">
        <v>622</v>
      </c>
    </row>
    <row r="58" spans="1:19" x14ac:dyDescent="0.3">
      <c r="A58" s="10" t="s">
        <v>1126</v>
      </c>
      <c r="B58" s="10" t="s">
        <v>1127</v>
      </c>
      <c r="C58" s="14">
        <v>3</v>
      </c>
      <c r="D58" s="14">
        <v>3</v>
      </c>
      <c r="E58" s="14">
        <v>5</v>
      </c>
      <c r="F58" s="14">
        <v>6</v>
      </c>
      <c r="G58" s="14">
        <v>6</v>
      </c>
      <c r="H58" s="14">
        <v>7</v>
      </c>
      <c r="I58" s="14">
        <v>7</v>
      </c>
      <c r="J58" s="14">
        <v>7</v>
      </c>
      <c r="K58" s="14">
        <v>8</v>
      </c>
      <c r="L58" s="14">
        <v>6</v>
      </c>
      <c r="M58" s="14">
        <v>7</v>
      </c>
      <c r="N58" s="14">
        <v>7</v>
      </c>
      <c r="O58" s="14">
        <v>7</v>
      </c>
      <c r="P58" s="14">
        <v>8</v>
      </c>
      <c r="Q58" s="14">
        <v>8</v>
      </c>
      <c r="R58" s="14">
        <v>8</v>
      </c>
      <c r="S58" s="14" t="s">
        <v>65</v>
      </c>
    </row>
    <row r="59" spans="1:19" x14ac:dyDescent="0.3">
      <c r="A59" s="10" t="s">
        <v>764</v>
      </c>
      <c r="B59" s="10" t="s">
        <v>765</v>
      </c>
      <c r="C59" s="14">
        <v>6</v>
      </c>
      <c r="D59" s="14">
        <v>7</v>
      </c>
      <c r="E59" s="14">
        <v>5</v>
      </c>
      <c r="F59" s="14">
        <v>7</v>
      </c>
      <c r="G59" s="14">
        <v>7</v>
      </c>
      <c r="H59" s="14">
        <v>7</v>
      </c>
      <c r="I59" s="14">
        <v>7</v>
      </c>
      <c r="J59" s="14">
        <v>6</v>
      </c>
      <c r="K59" s="14">
        <v>7</v>
      </c>
      <c r="L59" s="14">
        <v>7</v>
      </c>
      <c r="M59" s="14">
        <v>7</v>
      </c>
      <c r="N59" s="14">
        <v>6</v>
      </c>
      <c r="O59" s="14">
        <v>6</v>
      </c>
      <c r="P59" s="14">
        <v>6</v>
      </c>
      <c r="Q59" s="14">
        <v>6</v>
      </c>
      <c r="R59" s="14">
        <v>6</v>
      </c>
      <c r="S59" s="14" t="s">
        <v>65</v>
      </c>
    </row>
    <row r="60" spans="1:19" x14ac:dyDescent="0.3">
      <c r="A60" s="10" t="s">
        <v>766</v>
      </c>
      <c r="B60" s="10" t="s">
        <v>767</v>
      </c>
      <c r="C60" s="14">
        <v>83.33</v>
      </c>
      <c r="D60" s="14">
        <v>85.713999999999999</v>
      </c>
      <c r="E60" s="14">
        <v>100</v>
      </c>
      <c r="F60" s="14">
        <v>100</v>
      </c>
      <c r="G60" s="14">
        <v>100</v>
      </c>
      <c r="H60" s="14">
        <v>100</v>
      </c>
      <c r="I60" s="14">
        <v>100</v>
      </c>
      <c r="J60" s="14">
        <v>97.61</v>
      </c>
      <c r="K60" s="14">
        <v>100</v>
      </c>
      <c r="L60" s="14">
        <v>96.07</v>
      </c>
      <c r="M60" s="14">
        <v>95.65</v>
      </c>
      <c r="N60" s="14">
        <v>100</v>
      </c>
      <c r="O60" s="14">
        <v>100</v>
      </c>
      <c r="P60" s="14">
        <v>100</v>
      </c>
      <c r="Q60" s="14">
        <v>100</v>
      </c>
      <c r="R60" s="14">
        <v>100</v>
      </c>
      <c r="S60" s="14" t="s">
        <v>65</v>
      </c>
    </row>
    <row r="61" spans="1:19" x14ac:dyDescent="0.3">
      <c r="A61" s="10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</row>
    <row r="62" spans="1:19" x14ac:dyDescent="0.3">
      <c r="A62" s="10" t="s">
        <v>1128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</row>
    <row r="63" spans="1:19" x14ac:dyDescent="0.3">
      <c r="A63" s="10" t="s">
        <v>786</v>
      </c>
      <c r="B63" s="10" t="s">
        <v>787</v>
      </c>
      <c r="C63" s="14">
        <v>3</v>
      </c>
      <c r="D63" s="14">
        <v>3</v>
      </c>
      <c r="E63" s="14">
        <v>5</v>
      </c>
      <c r="F63" s="14">
        <v>6</v>
      </c>
      <c r="G63" s="14">
        <v>6</v>
      </c>
      <c r="H63" s="14">
        <v>7</v>
      </c>
      <c r="I63" s="14">
        <v>7</v>
      </c>
      <c r="J63" s="14">
        <v>7</v>
      </c>
      <c r="K63" s="14">
        <v>8</v>
      </c>
      <c r="L63" s="14">
        <v>6</v>
      </c>
      <c r="M63" s="14">
        <v>7</v>
      </c>
      <c r="N63" s="14">
        <v>7</v>
      </c>
      <c r="O63" s="14">
        <v>7</v>
      </c>
      <c r="P63" s="14">
        <v>8</v>
      </c>
      <c r="Q63" s="14">
        <v>9</v>
      </c>
      <c r="R63" s="14">
        <v>8</v>
      </c>
      <c r="S63" s="14" t="s">
        <v>65</v>
      </c>
    </row>
    <row r="64" spans="1:19" x14ac:dyDescent="0.3">
      <c r="A64" s="10" t="s">
        <v>1129</v>
      </c>
      <c r="B64" s="10" t="s">
        <v>789</v>
      </c>
      <c r="C64" s="14">
        <v>3</v>
      </c>
      <c r="D64" s="14">
        <v>3</v>
      </c>
      <c r="E64" s="14">
        <v>5</v>
      </c>
      <c r="F64" s="14">
        <v>6</v>
      </c>
      <c r="G64" s="14">
        <v>6</v>
      </c>
      <c r="H64" s="14">
        <v>7</v>
      </c>
      <c r="I64" s="14">
        <v>7</v>
      </c>
      <c r="J64" s="14">
        <v>7</v>
      </c>
      <c r="K64" s="14">
        <v>8</v>
      </c>
      <c r="L64" s="14">
        <v>6</v>
      </c>
      <c r="M64" s="14">
        <v>7</v>
      </c>
      <c r="N64" s="14">
        <v>7</v>
      </c>
      <c r="O64" s="14">
        <v>7</v>
      </c>
      <c r="P64" s="14">
        <v>8</v>
      </c>
      <c r="Q64" s="14">
        <v>9</v>
      </c>
      <c r="R64" s="14">
        <v>8</v>
      </c>
      <c r="S64" s="14" t="s">
        <v>65</v>
      </c>
    </row>
    <row r="65" spans="1:19" x14ac:dyDescent="0.3">
      <c r="A65" s="10" t="s">
        <v>1130</v>
      </c>
      <c r="B65" s="10" t="s">
        <v>1131</v>
      </c>
      <c r="C65" s="14">
        <v>100</v>
      </c>
      <c r="D65" s="14">
        <v>100</v>
      </c>
      <c r="E65" s="14">
        <v>100</v>
      </c>
      <c r="F65" s="14">
        <v>100</v>
      </c>
      <c r="G65" s="14">
        <v>100</v>
      </c>
      <c r="H65" s="14">
        <v>100</v>
      </c>
      <c r="I65" s="14">
        <v>100</v>
      </c>
      <c r="J65" s="14">
        <v>100</v>
      </c>
      <c r="K65" s="14">
        <v>100</v>
      </c>
      <c r="L65" s="14">
        <v>100</v>
      </c>
      <c r="M65" s="14">
        <v>100</v>
      </c>
      <c r="N65" s="14">
        <v>100</v>
      </c>
      <c r="O65" s="14">
        <v>100</v>
      </c>
      <c r="P65" s="14">
        <v>100</v>
      </c>
      <c r="Q65" s="14">
        <v>100</v>
      </c>
      <c r="R65" s="14">
        <v>100</v>
      </c>
      <c r="S65" s="14" t="s">
        <v>65</v>
      </c>
    </row>
    <row r="66" spans="1:19" x14ac:dyDescent="0.3">
      <c r="A66" s="10" t="s">
        <v>1132</v>
      </c>
      <c r="B66" s="10" t="s">
        <v>1133</v>
      </c>
      <c r="C66" s="12" t="s">
        <v>79</v>
      </c>
      <c r="D66" s="12" t="s">
        <v>79</v>
      </c>
      <c r="E66" s="12" t="s">
        <v>79</v>
      </c>
      <c r="F66" s="12" t="s">
        <v>79</v>
      </c>
      <c r="G66" s="12" t="s">
        <v>79</v>
      </c>
      <c r="H66" s="12" t="s">
        <v>79</v>
      </c>
      <c r="I66" s="12" t="s">
        <v>79</v>
      </c>
      <c r="J66" s="12" t="s">
        <v>79</v>
      </c>
      <c r="K66" s="12" t="s">
        <v>79</v>
      </c>
      <c r="L66" s="12" t="s">
        <v>79</v>
      </c>
      <c r="M66" s="12" t="s">
        <v>79</v>
      </c>
      <c r="N66" s="12" t="s">
        <v>79</v>
      </c>
      <c r="O66" s="12" t="s">
        <v>79</v>
      </c>
      <c r="P66" s="12" t="s">
        <v>79</v>
      </c>
      <c r="Q66" s="12" t="s">
        <v>79</v>
      </c>
      <c r="R66" s="12" t="s">
        <v>79</v>
      </c>
      <c r="S66" s="12" t="s">
        <v>622</v>
      </c>
    </row>
    <row r="67" spans="1:19" x14ac:dyDescent="0.3">
      <c r="A67" s="10" t="s">
        <v>1134</v>
      </c>
      <c r="B67" s="10" t="s">
        <v>1135</v>
      </c>
      <c r="C67" s="14">
        <v>3</v>
      </c>
      <c r="D67" s="14">
        <v>3</v>
      </c>
      <c r="E67" s="14">
        <v>5</v>
      </c>
      <c r="F67" s="14">
        <v>6</v>
      </c>
      <c r="G67" s="14">
        <v>6</v>
      </c>
      <c r="H67" s="14">
        <v>7</v>
      </c>
      <c r="I67" s="14">
        <v>7</v>
      </c>
      <c r="J67" s="14">
        <v>7</v>
      </c>
      <c r="K67" s="14">
        <v>8</v>
      </c>
      <c r="L67" s="14">
        <v>6</v>
      </c>
      <c r="M67" s="14">
        <v>7</v>
      </c>
      <c r="N67" s="14">
        <v>7</v>
      </c>
      <c r="O67" s="14">
        <v>7</v>
      </c>
      <c r="P67" s="14">
        <v>8</v>
      </c>
      <c r="Q67" s="14">
        <v>9</v>
      </c>
      <c r="R67" s="14">
        <v>8</v>
      </c>
      <c r="S67" s="14" t="s">
        <v>65</v>
      </c>
    </row>
    <row r="68" spans="1:19" x14ac:dyDescent="0.3">
      <c r="A68" s="10" t="s">
        <v>1136</v>
      </c>
      <c r="B68" s="10" t="s">
        <v>791</v>
      </c>
      <c r="C68" s="14">
        <v>5</v>
      </c>
      <c r="D68" s="14">
        <v>6</v>
      </c>
      <c r="E68" s="14">
        <v>5</v>
      </c>
      <c r="F68" s="14">
        <v>6</v>
      </c>
      <c r="G68" s="14">
        <v>6</v>
      </c>
      <c r="H68" s="14">
        <v>6</v>
      </c>
      <c r="I68" s="14">
        <v>6</v>
      </c>
      <c r="J68" s="14">
        <v>6</v>
      </c>
      <c r="K68" s="14">
        <v>6</v>
      </c>
      <c r="L68" s="14">
        <v>6</v>
      </c>
      <c r="M68" s="14">
        <v>6</v>
      </c>
      <c r="N68" s="14">
        <v>6</v>
      </c>
      <c r="O68" s="14">
        <v>6</v>
      </c>
      <c r="P68" s="14">
        <v>6</v>
      </c>
      <c r="Q68" s="14">
        <v>6</v>
      </c>
      <c r="R68" s="14">
        <v>6</v>
      </c>
      <c r="S68" s="14" t="s">
        <v>65</v>
      </c>
    </row>
    <row r="69" spans="1:19" x14ac:dyDescent="0.3">
      <c r="A69" s="10" t="s">
        <v>792</v>
      </c>
      <c r="B69" s="10" t="s">
        <v>793</v>
      </c>
      <c r="C69" s="14">
        <v>88.234999999999999</v>
      </c>
      <c r="D69" s="14">
        <v>83.33</v>
      </c>
      <c r="E69" s="14">
        <v>100</v>
      </c>
      <c r="F69" s="14">
        <v>100</v>
      </c>
      <c r="G69" s="14">
        <v>100</v>
      </c>
      <c r="H69" s="14">
        <v>97.61</v>
      </c>
      <c r="I69" s="14">
        <v>100</v>
      </c>
      <c r="J69" s="14">
        <v>97.61</v>
      </c>
      <c r="K69" s="14">
        <v>100</v>
      </c>
      <c r="L69" s="14">
        <v>95.34</v>
      </c>
      <c r="M69" s="14">
        <v>100</v>
      </c>
      <c r="N69" s="14">
        <v>97.87</v>
      </c>
      <c r="O69" s="14">
        <v>100</v>
      </c>
      <c r="P69" s="14">
        <v>100</v>
      </c>
      <c r="Q69" s="14">
        <v>100</v>
      </c>
      <c r="R69" s="14">
        <v>100</v>
      </c>
      <c r="S69" s="14" t="s">
        <v>65</v>
      </c>
    </row>
    <row r="70" spans="1:19" x14ac:dyDescent="0.3">
      <c r="A70" s="10" t="s">
        <v>1137</v>
      </c>
      <c r="B70" s="10" t="s">
        <v>1138</v>
      </c>
      <c r="C70" s="12" t="s">
        <v>79</v>
      </c>
      <c r="D70" s="12" t="s">
        <v>79</v>
      </c>
      <c r="E70" s="12" t="s">
        <v>79</v>
      </c>
      <c r="F70" s="12" t="s">
        <v>79</v>
      </c>
      <c r="G70" s="12" t="s">
        <v>79</v>
      </c>
      <c r="H70" s="12" t="s">
        <v>79</v>
      </c>
      <c r="I70" s="12" t="s">
        <v>79</v>
      </c>
      <c r="J70" s="12" t="s">
        <v>79</v>
      </c>
      <c r="K70" s="12" t="s">
        <v>79</v>
      </c>
      <c r="L70" s="12" t="s">
        <v>79</v>
      </c>
      <c r="M70" s="12" t="s">
        <v>79</v>
      </c>
      <c r="N70" s="12" t="s">
        <v>79</v>
      </c>
      <c r="O70" s="12" t="s">
        <v>79</v>
      </c>
      <c r="P70" s="12" t="s">
        <v>79</v>
      </c>
      <c r="Q70" s="12" t="s">
        <v>79</v>
      </c>
      <c r="R70" s="12" t="s">
        <v>79</v>
      </c>
      <c r="S70" s="12" t="s">
        <v>622</v>
      </c>
    </row>
    <row r="71" spans="1:19" x14ac:dyDescent="0.3">
      <c r="A71" s="10" t="s">
        <v>1139</v>
      </c>
      <c r="B71" s="10" t="s">
        <v>1140</v>
      </c>
      <c r="C71" s="14">
        <v>3</v>
      </c>
      <c r="D71" s="14">
        <v>3</v>
      </c>
      <c r="E71" s="14">
        <v>1</v>
      </c>
      <c r="F71" s="14">
        <v>1</v>
      </c>
      <c r="G71" s="14">
        <v>1</v>
      </c>
      <c r="H71" s="14">
        <v>1</v>
      </c>
      <c r="I71" s="14">
        <v>1</v>
      </c>
      <c r="J71" s="14">
        <v>1</v>
      </c>
      <c r="K71" s="14">
        <v>3</v>
      </c>
      <c r="L71" s="14">
        <v>3</v>
      </c>
      <c r="M71" s="14">
        <v>3</v>
      </c>
      <c r="N71" s="14">
        <v>3</v>
      </c>
      <c r="O71" s="14">
        <v>3</v>
      </c>
      <c r="P71" s="14">
        <v>3</v>
      </c>
      <c r="Q71" s="14">
        <v>3</v>
      </c>
      <c r="R71" s="14">
        <v>3</v>
      </c>
      <c r="S71" s="14" t="s">
        <v>65</v>
      </c>
    </row>
    <row r="72" spans="1:19" x14ac:dyDescent="0.3">
      <c r="A72" s="10" t="s">
        <v>1141</v>
      </c>
      <c r="B72" s="10" t="s">
        <v>1142</v>
      </c>
      <c r="C72" s="14">
        <v>287800</v>
      </c>
      <c r="D72" s="14">
        <v>256214</v>
      </c>
      <c r="E72" s="14">
        <v>258828</v>
      </c>
      <c r="F72" s="14">
        <v>291914</v>
      </c>
      <c r="G72" s="14">
        <v>272535</v>
      </c>
      <c r="H72" s="14">
        <v>228159</v>
      </c>
      <c r="I72" s="14">
        <v>312487</v>
      </c>
      <c r="J72" s="14">
        <v>323282</v>
      </c>
      <c r="K72" s="14">
        <v>201799</v>
      </c>
      <c r="L72" s="14">
        <v>192204</v>
      </c>
      <c r="M72" s="14">
        <v>253822</v>
      </c>
      <c r="N72" s="14">
        <v>197514</v>
      </c>
      <c r="O72" s="14">
        <v>240413</v>
      </c>
      <c r="P72" s="14">
        <v>287218</v>
      </c>
      <c r="Q72" s="14">
        <v>312108</v>
      </c>
      <c r="R72" s="14">
        <v>306875</v>
      </c>
      <c r="S72" s="14" t="s">
        <v>65</v>
      </c>
    </row>
    <row r="73" spans="1:19" x14ac:dyDescent="0.3">
      <c r="A73" s="10" t="s">
        <v>1143</v>
      </c>
      <c r="B73" s="10" t="s">
        <v>1144</v>
      </c>
      <c r="C73" s="14">
        <v>287800</v>
      </c>
      <c r="D73" s="14">
        <v>256214</v>
      </c>
      <c r="E73" s="14" t="s">
        <v>65</v>
      </c>
      <c r="F73" s="14">
        <v>273907</v>
      </c>
      <c r="G73" s="14">
        <v>255013</v>
      </c>
      <c r="H73" s="14">
        <v>221432</v>
      </c>
      <c r="I73" s="14">
        <v>297084</v>
      </c>
      <c r="J73" s="14">
        <v>280279</v>
      </c>
      <c r="K73" s="14">
        <v>201799</v>
      </c>
      <c r="L73" s="14">
        <v>192204</v>
      </c>
      <c r="M73" s="14">
        <v>253822</v>
      </c>
      <c r="N73" s="14">
        <v>197514</v>
      </c>
      <c r="O73" s="14">
        <v>228787</v>
      </c>
      <c r="P73" s="14">
        <v>272238</v>
      </c>
      <c r="Q73" s="14">
        <v>312108</v>
      </c>
      <c r="R73" s="14">
        <v>306875</v>
      </c>
      <c r="S73" s="14" t="s">
        <v>65</v>
      </c>
    </row>
    <row r="74" spans="1:19" x14ac:dyDescent="0.3">
      <c r="A74" s="10" t="s">
        <v>1145</v>
      </c>
      <c r="B74" s="10" t="s">
        <v>1146</v>
      </c>
      <c r="C74" s="14">
        <v>100</v>
      </c>
      <c r="D74" s="14">
        <v>100</v>
      </c>
      <c r="E74" s="14" t="s">
        <v>65</v>
      </c>
      <c r="F74" s="14">
        <v>93.831000000000003</v>
      </c>
      <c r="G74" s="14">
        <v>93.570999999999998</v>
      </c>
      <c r="H74" s="14">
        <v>97.051000000000002</v>
      </c>
      <c r="I74" s="14">
        <v>95.070999999999998</v>
      </c>
      <c r="J74" s="14">
        <v>86.697999999999993</v>
      </c>
      <c r="K74" s="14">
        <v>100</v>
      </c>
      <c r="L74" s="14">
        <v>100</v>
      </c>
      <c r="M74" s="14">
        <v>100</v>
      </c>
      <c r="N74" s="14">
        <v>100</v>
      </c>
      <c r="O74" s="14">
        <v>95.164000000000001</v>
      </c>
      <c r="P74" s="14">
        <v>94.784000000000006</v>
      </c>
      <c r="Q74" s="14">
        <v>100</v>
      </c>
      <c r="R74" s="14">
        <v>100</v>
      </c>
      <c r="S74" s="14" t="s">
        <v>65</v>
      </c>
    </row>
    <row r="75" spans="1:19" x14ac:dyDescent="0.3">
      <c r="A75" s="10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 spans="1:19" x14ac:dyDescent="0.3">
      <c r="A76" s="10" t="s">
        <v>1147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 spans="1:19" x14ac:dyDescent="0.3">
      <c r="A77" s="10" t="s">
        <v>808</v>
      </c>
      <c r="B77" s="10" t="s">
        <v>809</v>
      </c>
      <c r="C77" s="14">
        <v>4</v>
      </c>
      <c r="D77" s="14">
        <v>4</v>
      </c>
      <c r="E77" s="14">
        <v>5</v>
      </c>
      <c r="F77" s="14">
        <v>6</v>
      </c>
      <c r="G77" s="14">
        <v>6</v>
      </c>
      <c r="H77" s="14">
        <v>7</v>
      </c>
      <c r="I77" s="14">
        <v>7</v>
      </c>
      <c r="J77" s="14">
        <v>7</v>
      </c>
      <c r="K77" s="14">
        <v>8</v>
      </c>
      <c r="L77" s="14">
        <v>6</v>
      </c>
      <c r="M77" s="14">
        <v>7</v>
      </c>
      <c r="N77" s="14">
        <v>7</v>
      </c>
      <c r="O77" s="14">
        <v>7</v>
      </c>
      <c r="P77" s="14">
        <v>8</v>
      </c>
      <c r="Q77" s="14">
        <v>9</v>
      </c>
      <c r="R77" s="14">
        <v>8</v>
      </c>
      <c r="S77" s="14" t="s">
        <v>65</v>
      </c>
    </row>
    <row r="78" spans="1:19" x14ac:dyDescent="0.3">
      <c r="A78" s="10" t="s">
        <v>1148</v>
      </c>
      <c r="B78" s="10" t="s">
        <v>811</v>
      </c>
      <c r="C78" s="14">
        <v>4</v>
      </c>
      <c r="D78" s="14">
        <v>4</v>
      </c>
      <c r="E78" s="14">
        <v>5</v>
      </c>
      <c r="F78" s="14">
        <v>6</v>
      </c>
      <c r="G78" s="14">
        <v>6</v>
      </c>
      <c r="H78" s="14">
        <v>7</v>
      </c>
      <c r="I78" s="14">
        <v>7</v>
      </c>
      <c r="J78" s="14">
        <v>7</v>
      </c>
      <c r="K78" s="14">
        <v>8</v>
      </c>
      <c r="L78" s="14">
        <v>6</v>
      </c>
      <c r="M78" s="14">
        <v>7</v>
      </c>
      <c r="N78" s="14">
        <v>7</v>
      </c>
      <c r="O78" s="14">
        <v>7</v>
      </c>
      <c r="P78" s="14">
        <v>8</v>
      </c>
      <c r="Q78" s="14">
        <v>9</v>
      </c>
      <c r="R78" s="14">
        <v>8</v>
      </c>
      <c r="S78" s="14" t="s">
        <v>65</v>
      </c>
    </row>
    <row r="79" spans="1:19" x14ac:dyDescent="0.3">
      <c r="A79" s="10" t="s">
        <v>1149</v>
      </c>
      <c r="B79" s="10" t="s">
        <v>1150</v>
      </c>
      <c r="C79" s="14">
        <v>100</v>
      </c>
      <c r="D79" s="14">
        <v>100</v>
      </c>
      <c r="E79" s="14">
        <v>100</v>
      </c>
      <c r="F79" s="14">
        <v>100</v>
      </c>
      <c r="G79" s="14">
        <v>100</v>
      </c>
      <c r="H79" s="14">
        <v>100</v>
      </c>
      <c r="I79" s="14">
        <v>100</v>
      </c>
      <c r="J79" s="14">
        <v>100</v>
      </c>
      <c r="K79" s="14">
        <v>100</v>
      </c>
      <c r="L79" s="14">
        <v>100</v>
      </c>
      <c r="M79" s="14">
        <v>100</v>
      </c>
      <c r="N79" s="14">
        <v>100</v>
      </c>
      <c r="O79" s="14">
        <v>100</v>
      </c>
      <c r="P79" s="14">
        <v>100</v>
      </c>
      <c r="Q79" s="14">
        <v>100</v>
      </c>
      <c r="R79" s="14">
        <v>100</v>
      </c>
      <c r="S79" s="14" t="s">
        <v>65</v>
      </c>
    </row>
    <row r="80" spans="1:19" x14ac:dyDescent="0.3">
      <c r="A80" s="10" t="s">
        <v>1151</v>
      </c>
      <c r="B80" s="10" t="s">
        <v>1152</v>
      </c>
      <c r="C80" s="12" t="s">
        <v>79</v>
      </c>
      <c r="D80" s="12" t="s">
        <v>79</v>
      </c>
      <c r="E80" s="12" t="s">
        <v>79</v>
      </c>
      <c r="F80" s="12" t="s">
        <v>79</v>
      </c>
      <c r="G80" s="12" t="s">
        <v>79</v>
      </c>
      <c r="H80" s="12" t="s">
        <v>79</v>
      </c>
      <c r="I80" s="12" t="s">
        <v>79</v>
      </c>
      <c r="J80" s="12" t="s">
        <v>79</v>
      </c>
      <c r="K80" s="12" t="s">
        <v>79</v>
      </c>
      <c r="L80" s="12" t="s">
        <v>79</v>
      </c>
      <c r="M80" s="12" t="s">
        <v>79</v>
      </c>
      <c r="N80" s="12" t="s">
        <v>79</v>
      </c>
      <c r="O80" s="12" t="s">
        <v>79</v>
      </c>
      <c r="P80" s="12" t="s">
        <v>79</v>
      </c>
      <c r="Q80" s="12" t="s">
        <v>79</v>
      </c>
      <c r="R80" s="12" t="s">
        <v>79</v>
      </c>
      <c r="S80" s="12" t="s">
        <v>622</v>
      </c>
    </row>
    <row r="81" spans="1:19" x14ac:dyDescent="0.3">
      <c r="A81" s="10" t="s">
        <v>1153</v>
      </c>
      <c r="B81" s="10" t="s">
        <v>1154</v>
      </c>
      <c r="C81" s="14">
        <v>4</v>
      </c>
      <c r="D81" s="14">
        <v>4</v>
      </c>
      <c r="E81" s="14">
        <v>5</v>
      </c>
      <c r="F81" s="14">
        <v>6</v>
      </c>
      <c r="G81" s="14">
        <v>6</v>
      </c>
      <c r="H81" s="14">
        <v>7</v>
      </c>
      <c r="I81" s="14">
        <v>7</v>
      </c>
      <c r="J81" s="14">
        <v>7</v>
      </c>
      <c r="K81" s="14">
        <v>8</v>
      </c>
      <c r="L81" s="14">
        <v>6</v>
      </c>
      <c r="M81" s="14">
        <v>7</v>
      </c>
      <c r="N81" s="14">
        <v>7</v>
      </c>
      <c r="O81" s="14">
        <v>7</v>
      </c>
      <c r="P81" s="14">
        <v>8</v>
      </c>
      <c r="Q81" s="14">
        <v>9</v>
      </c>
      <c r="R81" s="14">
        <v>8</v>
      </c>
      <c r="S81" s="14" t="s">
        <v>65</v>
      </c>
    </row>
    <row r="82" spans="1:19" x14ac:dyDescent="0.3">
      <c r="A82" s="10" t="s">
        <v>1155</v>
      </c>
      <c r="B82" s="10" t="s">
        <v>813</v>
      </c>
      <c r="C82" s="14">
        <v>5</v>
      </c>
      <c r="D82" s="14">
        <v>5</v>
      </c>
      <c r="E82" s="14">
        <v>4</v>
      </c>
      <c r="F82" s="14">
        <v>4</v>
      </c>
      <c r="G82" s="14">
        <v>4</v>
      </c>
      <c r="H82" s="14">
        <v>5</v>
      </c>
      <c r="I82" s="14">
        <v>4</v>
      </c>
      <c r="J82" s="14">
        <v>4</v>
      </c>
      <c r="K82" s="14">
        <v>4</v>
      </c>
      <c r="L82" s="14">
        <v>4</v>
      </c>
      <c r="M82" s="14">
        <v>4</v>
      </c>
      <c r="N82" s="14">
        <v>4</v>
      </c>
      <c r="O82" s="14">
        <v>3</v>
      </c>
      <c r="P82" s="14">
        <v>5</v>
      </c>
      <c r="Q82" s="14">
        <v>5</v>
      </c>
      <c r="R82" s="14">
        <v>5</v>
      </c>
      <c r="S82" s="14" t="s">
        <v>65</v>
      </c>
    </row>
    <row r="83" spans="1:19" x14ac:dyDescent="0.3">
      <c r="A83" s="10" t="s">
        <v>814</v>
      </c>
      <c r="B83" s="10" t="s">
        <v>815</v>
      </c>
      <c r="C83" s="14">
        <v>90</v>
      </c>
      <c r="D83" s="14">
        <v>85</v>
      </c>
      <c r="E83" s="14">
        <v>93.45</v>
      </c>
      <c r="F83" s="14">
        <v>95.45</v>
      </c>
      <c r="G83" s="14">
        <v>100</v>
      </c>
      <c r="H83" s="14">
        <v>100</v>
      </c>
      <c r="I83" s="14">
        <v>100</v>
      </c>
      <c r="J83" s="14">
        <v>96.42</v>
      </c>
      <c r="K83" s="14">
        <v>100</v>
      </c>
      <c r="L83" s="14">
        <v>93.1</v>
      </c>
      <c r="M83" s="14">
        <v>100</v>
      </c>
      <c r="N83" s="14">
        <v>100</v>
      </c>
      <c r="O83" s="14">
        <v>100</v>
      </c>
      <c r="P83" s="14">
        <v>100</v>
      </c>
      <c r="Q83" s="14">
        <v>100</v>
      </c>
      <c r="R83" s="14">
        <v>100</v>
      </c>
      <c r="S83" s="14" t="s">
        <v>65</v>
      </c>
    </row>
    <row r="84" spans="1:19" x14ac:dyDescent="0.3">
      <c r="A84" s="10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 spans="1:19" x14ac:dyDescent="0.3">
      <c r="A85" s="10" t="s">
        <v>1156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 spans="1:19" x14ac:dyDescent="0.3">
      <c r="A86" s="10" t="s">
        <v>1156</v>
      </c>
      <c r="B86" s="10" t="s">
        <v>1157</v>
      </c>
      <c r="C86" s="12" t="s">
        <v>78</v>
      </c>
      <c r="D86" s="12" t="s">
        <v>78</v>
      </c>
      <c r="E86" s="12" t="s">
        <v>78</v>
      </c>
      <c r="F86" s="12" t="s">
        <v>78</v>
      </c>
      <c r="G86" s="12" t="s">
        <v>78</v>
      </c>
      <c r="H86" s="12" t="s">
        <v>78</v>
      </c>
      <c r="I86" s="12" t="s">
        <v>78</v>
      </c>
      <c r="J86" s="12" t="s">
        <v>78</v>
      </c>
      <c r="K86" s="12" t="s">
        <v>78</v>
      </c>
      <c r="L86" s="12" t="s">
        <v>78</v>
      </c>
      <c r="M86" s="12" t="s">
        <v>78</v>
      </c>
      <c r="N86" s="12" t="s">
        <v>78</v>
      </c>
      <c r="O86" s="12" t="s">
        <v>79</v>
      </c>
      <c r="P86" s="12" t="s">
        <v>79</v>
      </c>
      <c r="Q86" s="12" t="s">
        <v>79</v>
      </c>
      <c r="R86" s="12" t="s">
        <v>79</v>
      </c>
      <c r="S86" s="12" t="s">
        <v>622</v>
      </c>
    </row>
    <row r="87" spans="1:19" x14ac:dyDescent="0.3">
      <c r="A87" s="10" t="s">
        <v>1158</v>
      </c>
      <c r="B87" s="10" t="s">
        <v>1159</v>
      </c>
      <c r="C87" s="14" t="s">
        <v>65</v>
      </c>
      <c r="D87" s="14" t="s">
        <v>65</v>
      </c>
      <c r="E87" s="14" t="s">
        <v>65</v>
      </c>
      <c r="F87" s="14" t="s">
        <v>65</v>
      </c>
      <c r="G87" s="14" t="s">
        <v>65</v>
      </c>
      <c r="H87" s="14" t="s">
        <v>65</v>
      </c>
      <c r="I87" s="14" t="s">
        <v>65</v>
      </c>
      <c r="J87" s="14" t="s">
        <v>65</v>
      </c>
      <c r="K87" s="14" t="s">
        <v>65</v>
      </c>
      <c r="L87" s="14">
        <v>6</v>
      </c>
      <c r="M87" s="14">
        <v>0</v>
      </c>
      <c r="N87" s="14">
        <v>0</v>
      </c>
      <c r="O87" s="14">
        <v>7</v>
      </c>
      <c r="P87" s="14">
        <v>8</v>
      </c>
      <c r="Q87" s="14">
        <v>9</v>
      </c>
      <c r="R87" s="14">
        <v>8</v>
      </c>
      <c r="S87" s="14" t="s">
        <v>65</v>
      </c>
    </row>
    <row r="88" spans="1:19" x14ac:dyDescent="0.3">
      <c r="A88" s="10" t="s">
        <v>1160</v>
      </c>
      <c r="B88" s="10" t="s">
        <v>1161</v>
      </c>
      <c r="C88" s="14" t="s">
        <v>65</v>
      </c>
      <c r="D88" s="14" t="s">
        <v>65</v>
      </c>
      <c r="E88" s="14" t="s">
        <v>65</v>
      </c>
      <c r="F88" s="14" t="s">
        <v>65</v>
      </c>
      <c r="G88" s="14" t="s">
        <v>65</v>
      </c>
      <c r="H88" s="14" t="s">
        <v>65</v>
      </c>
      <c r="I88" s="14" t="s">
        <v>65</v>
      </c>
      <c r="J88" s="14" t="s">
        <v>65</v>
      </c>
      <c r="K88" s="14" t="s">
        <v>65</v>
      </c>
      <c r="L88" s="14" t="s">
        <v>65</v>
      </c>
      <c r="M88" s="14" t="s">
        <v>65</v>
      </c>
      <c r="N88" s="14" t="s">
        <v>65</v>
      </c>
      <c r="O88" s="14">
        <v>7</v>
      </c>
      <c r="P88" s="14">
        <v>8</v>
      </c>
      <c r="Q88" s="14">
        <v>9</v>
      </c>
      <c r="R88" s="14">
        <v>8</v>
      </c>
      <c r="S88" s="14" t="s">
        <v>65</v>
      </c>
    </row>
    <row r="89" spans="1:19" x14ac:dyDescent="0.3">
      <c r="A89" s="10" t="s">
        <v>1162</v>
      </c>
      <c r="B89" s="10" t="s">
        <v>1163</v>
      </c>
      <c r="C89" s="14" t="s">
        <v>65</v>
      </c>
      <c r="D89" s="14" t="s">
        <v>65</v>
      </c>
      <c r="E89" s="14" t="s">
        <v>65</v>
      </c>
      <c r="F89" s="14" t="s">
        <v>65</v>
      </c>
      <c r="G89" s="14" t="s">
        <v>65</v>
      </c>
      <c r="H89" s="14" t="s">
        <v>65</v>
      </c>
      <c r="I89" s="14" t="s">
        <v>65</v>
      </c>
      <c r="J89" s="14" t="s">
        <v>65</v>
      </c>
      <c r="K89" s="14" t="s">
        <v>65</v>
      </c>
      <c r="L89" s="14" t="s">
        <v>65</v>
      </c>
      <c r="M89" s="14" t="s">
        <v>65</v>
      </c>
      <c r="N89" s="14" t="s">
        <v>65</v>
      </c>
      <c r="O89" s="14">
        <v>100</v>
      </c>
      <c r="P89" s="14">
        <v>100</v>
      </c>
      <c r="Q89" s="14">
        <v>100</v>
      </c>
      <c r="R89" s="14">
        <v>100</v>
      </c>
      <c r="S89" s="14" t="s">
        <v>65</v>
      </c>
    </row>
    <row r="90" spans="1:19" x14ac:dyDescent="0.3">
      <c r="A90" s="10" t="s">
        <v>1164</v>
      </c>
      <c r="B90" s="10" t="s">
        <v>1165</v>
      </c>
      <c r="C90" s="12" t="s">
        <v>622</v>
      </c>
      <c r="D90" s="12" t="s">
        <v>622</v>
      </c>
      <c r="E90" s="12" t="s">
        <v>622</v>
      </c>
      <c r="F90" s="12" t="s">
        <v>622</v>
      </c>
      <c r="G90" s="12" t="s">
        <v>622</v>
      </c>
      <c r="H90" s="12" t="s">
        <v>622</v>
      </c>
      <c r="I90" s="12" t="s">
        <v>622</v>
      </c>
      <c r="J90" s="12" t="s">
        <v>622</v>
      </c>
      <c r="K90" s="12" t="s">
        <v>622</v>
      </c>
      <c r="L90" s="12" t="s">
        <v>622</v>
      </c>
      <c r="M90" s="12" t="s">
        <v>622</v>
      </c>
      <c r="N90" s="12" t="s">
        <v>622</v>
      </c>
      <c r="O90" s="12" t="s">
        <v>79</v>
      </c>
      <c r="P90" s="12" t="s">
        <v>79</v>
      </c>
      <c r="Q90" s="12" t="s">
        <v>79</v>
      </c>
      <c r="R90" s="12" t="s">
        <v>79</v>
      </c>
      <c r="S90" s="12" t="s">
        <v>622</v>
      </c>
    </row>
    <row r="91" spans="1:19" x14ac:dyDescent="0.3">
      <c r="A91" s="10" t="s">
        <v>1166</v>
      </c>
      <c r="B91" s="10" t="s">
        <v>1167</v>
      </c>
      <c r="C91" s="14" t="s">
        <v>65</v>
      </c>
      <c r="D91" s="14" t="s">
        <v>65</v>
      </c>
      <c r="E91" s="14" t="s">
        <v>65</v>
      </c>
      <c r="F91" s="14" t="s">
        <v>65</v>
      </c>
      <c r="G91" s="14" t="s">
        <v>65</v>
      </c>
      <c r="H91" s="14" t="s">
        <v>65</v>
      </c>
      <c r="I91" s="14" t="s">
        <v>65</v>
      </c>
      <c r="J91" s="14" t="s">
        <v>65</v>
      </c>
      <c r="K91" s="14" t="s">
        <v>65</v>
      </c>
      <c r="L91" s="14" t="s">
        <v>65</v>
      </c>
      <c r="M91" s="14" t="s">
        <v>65</v>
      </c>
      <c r="N91" s="14" t="s">
        <v>65</v>
      </c>
      <c r="O91" s="14">
        <v>7</v>
      </c>
      <c r="P91" s="14">
        <v>8</v>
      </c>
      <c r="Q91" s="14">
        <v>9</v>
      </c>
      <c r="R91" s="14">
        <v>8</v>
      </c>
      <c r="S91" s="14" t="s">
        <v>65</v>
      </c>
    </row>
    <row r="92" spans="1:19" x14ac:dyDescent="0.3">
      <c r="A92" s="10" t="s">
        <v>1168</v>
      </c>
      <c r="B92" s="10" t="s">
        <v>1169</v>
      </c>
      <c r="C92" s="14" t="s">
        <v>65</v>
      </c>
      <c r="D92" s="14" t="s">
        <v>65</v>
      </c>
      <c r="E92" s="14" t="s">
        <v>65</v>
      </c>
      <c r="F92" s="14" t="s">
        <v>65</v>
      </c>
      <c r="G92" s="14" t="s">
        <v>65</v>
      </c>
      <c r="H92" s="14" t="s">
        <v>65</v>
      </c>
      <c r="I92" s="14" t="s">
        <v>65</v>
      </c>
      <c r="J92" s="14" t="s">
        <v>65</v>
      </c>
      <c r="K92" s="14" t="s">
        <v>65</v>
      </c>
      <c r="L92" s="14" t="s">
        <v>65</v>
      </c>
      <c r="M92" s="14" t="s">
        <v>65</v>
      </c>
      <c r="N92" s="14" t="s">
        <v>65</v>
      </c>
      <c r="O92" s="14">
        <v>3</v>
      </c>
      <c r="P92" s="14">
        <v>5</v>
      </c>
      <c r="Q92" s="14">
        <v>5</v>
      </c>
      <c r="R92" s="14">
        <v>5</v>
      </c>
      <c r="S92" s="14" t="s">
        <v>65</v>
      </c>
    </row>
    <row r="93" spans="1:19" x14ac:dyDescent="0.3">
      <c r="A93" s="10" t="s">
        <v>1170</v>
      </c>
      <c r="B93" s="10" t="s">
        <v>1171</v>
      </c>
      <c r="C93" s="14" t="s">
        <v>65</v>
      </c>
      <c r="D93" s="14" t="s">
        <v>65</v>
      </c>
      <c r="E93" s="14" t="s">
        <v>65</v>
      </c>
      <c r="F93" s="14" t="s">
        <v>65</v>
      </c>
      <c r="G93" s="14" t="s">
        <v>65</v>
      </c>
      <c r="H93" s="14" t="s">
        <v>65</v>
      </c>
      <c r="I93" s="14" t="s">
        <v>65</v>
      </c>
      <c r="J93" s="14" t="s">
        <v>65</v>
      </c>
      <c r="K93" s="14" t="s">
        <v>65</v>
      </c>
      <c r="L93" s="14" t="s">
        <v>65</v>
      </c>
      <c r="M93" s="14" t="s">
        <v>65</v>
      </c>
      <c r="N93" s="14" t="s">
        <v>65</v>
      </c>
      <c r="O93" s="14">
        <v>100</v>
      </c>
      <c r="P93" s="14">
        <v>100</v>
      </c>
      <c r="Q93" s="14">
        <v>100</v>
      </c>
      <c r="R93" s="14">
        <v>100</v>
      </c>
      <c r="S93" s="14" t="s">
        <v>65</v>
      </c>
    </row>
    <row r="94" spans="1:19" x14ac:dyDescent="0.3">
      <c r="A94" s="10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</row>
    <row r="95" spans="1:19" x14ac:dyDescent="0.3">
      <c r="A95" s="10" t="s">
        <v>1172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</row>
    <row r="96" spans="1:19" x14ac:dyDescent="0.3">
      <c r="A96" s="10" t="s">
        <v>1173</v>
      </c>
      <c r="B96" s="10" t="s">
        <v>1174</v>
      </c>
      <c r="C96" s="12" t="s">
        <v>78</v>
      </c>
      <c r="D96" s="12" t="s">
        <v>78</v>
      </c>
      <c r="E96" s="12" t="s">
        <v>78</v>
      </c>
      <c r="F96" s="12" t="s">
        <v>78</v>
      </c>
      <c r="G96" s="12" t="s">
        <v>78</v>
      </c>
      <c r="H96" s="12" t="s">
        <v>78</v>
      </c>
      <c r="I96" s="12" t="s">
        <v>78</v>
      </c>
      <c r="J96" s="12" t="s">
        <v>78</v>
      </c>
      <c r="K96" s="12" t="s">
        <v>78</v>
      </c>
      <c r="L96" s="12" t="s">
        <v>78</v>
      </c>
      <c r="M96" s="12" t="s">
        <v>78</v>
      </c>
      <c r="N96" s="12" t="s">
        <v>78</v>
      </c>
      <c r="O96" s="12" t="s">
        <v>78</v>
      </c>
      <c r="P96" s="12" t="s">
        <v>78</v>
      </c>
      <c r="Q96" s="12" t="s">
        <v>78</v>
      </c>
      <c r="R96" s="12" t="s">
        <v>78</v>
      </c>
      <c r="S96" s="12" t="s">
        <v>622</v>
      </c>
    </row>
    <row r="97" spans="1:19" x14ac:dyDescent="0.3">
      <c r="A97" s="10" t="s">
        <v>1175</v>
      </c>
      <c r="B97" s="10" t="s">
        <v>1176</v>
      </c>
      <c r="C97" s="12" t="s">
        <v>78</v>
      </c>
      <c r="D97" s="12" t="s">
        <v>78</v>
      </c>
      <c r="E97" s="12" t="s">
        <v>78</v>
      </c>
      <c r="F97" s="12" t="s">
        <v>78</v>
      </c>
      <c r="G97" s="12" t="s">
        <v>78</v>
      </c>
      <c r="H97" s="12" t="s">
        <v>78</v>
      </c>
      <c r="I97" s="12" t="s">
        <v>78</v>
      </c>
      <c r="J97" s="12" t="s">
        <v>78</v>
      </c>
      <c r="K97" s="12" t="s">
        <v>78</v>
      </c>
      <c r="L97" s="12" t="s">
        <v>78</v>
      </c>
      <c r="M97" s="12" t="s">
        <v>78</v>
      </c>
      <c r="N97" s="12" t="s">
        <v>78</v>
      </c>
      <c r="O97" s="12" t="s">
        <v>78</v>
      </c>
      <c r="P97" s="12" t="s">
        <v>78</v>
      </c>
      <c r="Q97" s="12" t="s">
        <v>78</v>
      </c>
      <c r="R97" s="12" t="s">
        <v>78</v>
      </c>
      <c r="S97" s="12" t="s">
        <v>622</v>
      </c>
    </row>
    <row r="98" spans="1:19" x14ac:dyDescent="0.3">
      <c r="A98" s="10" t="s">
        <v>1177</v>
      </c>
      <c r="B98" s="10" t="s">
        <v>1178</v>
      </c>
      <c r="C98" s="12" t="s">
        <v>78</v>
      </c>
      <c r="D98" s="12" t="s">
        <v>78</v>
      </c>
      <c r="E98" s="12" t="s">
        <v>78</v>
      </c>
      <c r="F98" s="12" t="s">
        <v>78</v>
      </c>
      <c r="G98" s="12" t="s">
        <v>78</v>
      </c>
      <c r="H98" s="12" t="s">
        <v>78</v>
      </c>
      <c r="I98" s="12" t="s">
        <v>78</v>
      </c>
      <c r="J98" s="12" t="s">
        <v>78</v>
      </c>
      <c r="K98" s="12" t="s">
        <v>78</v>
      </c>
      <c r="L98" s="12" t="s">
        <v>78</v>
      </c>
      <c r="M98" s="12" t="s">
        <v>78</v>
      </c>
      <c r="N98" s="12" t="s">
        <v>78</v>
      </c>
      <c r="O98" s="12" t="s">
        <v>79</v>
      </c>
      <c r="P98" s="12" t="s">
        <v>79</v>
      </c>
      <c r="Q98" s="12" t="s">
        <v>79</v>
      </c>
      <c r="R98" s="12" t="s">
        <v>79</v>
      </c>
      <c r="S98" s="12" t="s">
        <v>622</v>
      </c>
    </row>
    <row r="99" spans="1:19" x14ac:dyDescent="0.3">
      <c r="A99" s="10" t="s">
        <v>1179</v>
      </c>
      <c r="B99" s="10" t="s">
        <v>1180</v>
      </c>
      <c r="C99" s="12" t="s">
        <v>622</v>
      </c>
      <c r="D99" s="12" t="s">
        <v>622</v>
      </c>
      <c r="E99" s="12" t="s">
        <v>622</v>
      </c>
      <c r="F99" s="12" t="s">
        <v>622</v>
      </c>
      <c r="G99" s="12" t="s">
        <v>622</v>
      </c>
      <c r="H99" s="12" t="s">
        <v>622</v>
      </c>
      <c r="I99" s="12" t="s">
        <v>622</v>
      </c>
      <c r="J99" s="12" t="s">
        <v>622</v>
      </c>
      <c r="K99" s="12" t="s">
        <v>622</v>
      </c>
      <c r="L99" s="12" t="s">
        <v>622</v>
      </c>
      <c r="M99" s="12" t="s">
        <v>78</v>
      </c>
      <c r="N99" s="12" t="s">
        <v>78</v>
      </c>
      <c r="O99" s="12" t="s">
        <v>78</v>
      </c>
      <c r="P99" s="12" t="s">
        <v>78</v>
      </c>
      <c r="Q99" s="12" t="s">
        <v>78</v>
      </c>
      <c r="R99" s="12" t="s">
        <v>79</v>
      </c>
      <c r="S99" s="12" t="s">
        <v>622</v>
      </c>
    </row>
    <row r="100" spans="1:19" x14ac:dyDescent="0.3">
      <c r="A100" s="10" t="s">
        <v>1181</v>
      </c>
      <c r="B100" s="10" t="s">
        <v>1182</v>
      </c>
      <c r="C100" s="12" t="s">
        <v>78</v>
      </c>
      <c r="D100" s="12" t="s">
        <v>78</v>
      </c>
      <c r="E100" s="12" t="s">
        <v>78</v>
      </c>
      <c r="F100" s="12" t="s">
        <v>78</v>
      </c>
      <c r="G100" s="12" t="s">
        <v>78</v>
      </c>
      <c r="H100" s="12" t="s">
        <v>78</v>
      </c>
      <c r="I100" s="12" t="s">
        <v>78</v>
      </c>
      <c r="J100" s="12" t="s">
        <v>78</v>
      </c>
      <c r="K100" s="12" t="s">
        <v>78</v>
      </c>
      <c r="L100" s="12" t="s">
        <v>78</v>
      </c>
      <c r="M100" s="12" t="s">
        <v>78</v>
      </c>
      <c r="N100" s="12" t="s">
        <v>78</v>
      </c>
      <c r="O100" s="12" t="s">
        <v>78</v>
      </c>
      <c r="P100" s="12" t="s">
        <v>78</v>
      </c>
      <c r="Q100" s="12" t="s">
        <v>78</v>
      </c>
      <c r="R100" s="12" t="s">
        <v>78</v>
      </c>
      <c r="S100" s="12" t="s">
        <v>622</v>
      </c>
    </row>
    <row r="101" spans="1:19" x14ac:dyDescent="0.3">
      <c r="A101" s="10" t="s">
        <v>1183</v>
      </c>
      <c r="B101" s="10" t="s">
        <v>1184</v>
      </c>
      <c r="C101" s="12" t="s">
        <v>79</v>
      </c>
      <c r="D101" s="12" t="s">
        <v>79</v>
      </c>
      <c r="E101" s="12" t="s">
        <v>79</v>
      </c>
      <c r="F101" s="12" t="s">
        <v>79</v>
      </c>
      <c r="G101" s="12" t="s">
        <v>79</v>
      </c>
      <c r="H101" s="12" t="s">
        <v>79</v>
      </c>
      <c r="I101" s="12" t="s">
        <v>79</v>
      </c>
      <c r="J101" s="12" t="s">
        <v>79</v>
      </c>
      <c r="K101" s="12" t="s">
        <v>79</v>
      </c>
      <c r="L101" s="12" t="s">
        <v>79</v>
      </c>
      <c r="M101" s="12" t="s">
        <v>79</v>
      </c>
      <c r="N101" s="12" t="s">
        <v>79</v>
      </c>
      <c r="O101" s="12" t="s">
        <v>79</v>
      </c>
      <c r="P101" s="12" t="s">
        <v>79</v>
      </c>
      <c r="Q101" s="12" t="s">
        <v>79</v>
      </c>
      <c r="R101" s="12" t="s">
        <v>79</v>
      </c>
      <c r="S101" s="12" t="s">
        <v>622</v>
      </c>
    </row>
    <row r="102" spans="1:19" x14ac:dyDescent="0.3">
      <c r="A102" s="10" t="s">
        <v>1185</v>
      </c>
      <c r="B102" s="10" t="s">
        <v>1186</v>
      </c>
      <c r="C102" s="12" t="s">
        <v>79</v>
      </c>
      <c r="D102" s="12" t="s">
        <v>79</v>
      </c>
      <c r="E102" s="12" t="s">
        <v>79</v>
      </c>
      <c r="F102" s="12" t="s">
        <v>79</v>
      </c>
      <c r="G102" s="12" t="s">
        <v>79</v>
      </c>
      <c r="H102" s="12" t="s">
        <v>79</v>
      </c>
      <c r="I102" s="12" t="s">
        <v>79</v>
      </c>
      <c r="J102" s="12" t="s">
        <v>79</v>
      </c>
      <c r="K102" s="12" t="s">
        <v>79</v>
      </c>
      <c r="L102" s="12" t="s">
        <v>79</v>
      </c>
      <c r="M102" s="12" t="s">
        <v>79</v>
      </c>
      <c r="N102" s="12" t="s">
        <v>79</v>
      </c>
      <c r="O102" s="12" t="s">
        <v>79</v>
      </c>
      <c r="P102" s="12" t="s">
        <v>79</v>
      </c>
      <c r="Q102" s="12" t="s">
        <v>79</v>
      </c>
      <c r="R102" s="12" t="s">
        <v>79</v>
      </c>
      <c r="S102" s="12" t="s">
        <v>622</v>
      </c>
    </row>
    <row r="103" spans="1:19" x14ac:dyDescent="0.3">
      <c r="A103" s="10" t="s">
        <v>1187</v>
      </c>
      <c r="B103" s="10" t="s">
        <v>1188</v>
      </c>
      <c r="C103" s="12" t="s">
        <v>622</v>
      </c>
      <c r="D103" s="12" t="s">
        <v>622</v>
      </c>
      <c r="E103" s="12" t="s">
        <v>622</v>
      </c>
      <c r="F103" s="12" t="s">
        <v>622</v>
      </c>
      <c r="G103" s="12" t="s">
        <v>622</v>
      </c>
      <c r="H103" s="12" t="s">
        <v>622</v>
      </c>
      <c r="I103" s="12" t="s">
        <v>622</v>
      </c>
      <c r="J103" s="12" t="s">
        <v>622</v>
      </c>
      <c r="K103" s="12" t="s">
        <v>622</v>
      </c>
      <c r="L103" s="12" t="s">
        <v>622</v>
      </c>
      <c r="M103" s="12" t="s">
        <v>622</v>
      </c>
      <c r="N103" s="12" t="s">
        <v>622</v>
      </c>
      <c r="O103" s="12" t="s">
        <v>622</v>
      </c>
      <c r="P103" s="12" t="s">
        <v>78</v>
      </c>
      <c r="Q103" s="12" t="s">
        <v>78</v>
      </c>
      <c r="R103" s="12" t="s">
        <v>78</v>
      </c>
      <c r="S103" s="12" t="s">
        <v>622</v>
      </c>
    </row>
    <row r="104" spans="1:19" x14ac:dyDescent="0.3">
      <c r="A104" s="10" t="s">
        <v>716</v>
      </c>
      <c r="B104" s="10" t="s">
        <v>717</v>
      </c>
      <c r="C104" s="13" t="s">
        <v>65</v>
      </c>
      <c r="D104" s="13" t="s">
        <v>65</v>
      </c>
      <c r="E104" s="13" t="s">
        <v>65</v>
      </c>
      <c r="F104" s="13" t="s">
        <v>65</v>
      </c>
      <c r="G104" s="13" t="s">
        <v>65</v>
      </c>
      <c r="H104" s="13" t="s">
        <v>65</v>
      </c>
      <c r="I104" s="13" t="s">
        <v>65</v>
      </c>
      <c r="J104" s="13" t="s">
        <v>65</v>
      </c>
      <c r="K104" s="13" t="s">
        <v>65</v>
      </c>
      <c r="L104" s="13" t="s">
        <v>65</v>
      </c>
      <c r="M104" s="13" t="s">
        <v>65</v>
      </c>
      <c r="N104" s="13" t="s">
        <v>65</v>
      </c>
      <c r="O104" s="13" t="s">
        <v>65</v>
      </c>
      <c r="P104" s="13" t="s">
        <v>65</v>
      </c>
      <c r="Q104" s="13" t="s">
        <v>65</v>
      </c>
      <c r="R104" s="13">
        <v>0</v>
      </c>
      <c r="S104" s="13" t="s">
        <v>65</v>
      </c>
    </row>
    <row r="105" spans="1:19" x14ac:dyDescent="0.3">
      <c r="A105" s="10" t="s">
        <v>688</v>
      </c>
      <c r="B105" s="10" t="s">
        <v>689</v>
      </c>
      <c r="C105" s="12" t="s">
        <v>622</v>
      </c>
      <c r="D105" s="12" t="s">
        <v>622</v>
      </c>
      <c r="E105" s="12" t="s">
        <v>622</v>
      </c>
      <c r="F105" s="12" t="s">
        <v>622</v>
      </c>
      <c r="G105" s="12" t="s">
        <v>622</v>
      </c>
      <c r="H105" s="12" t="s">
        <v>622</v>
      </c>
      <c r="I105" s="12" t="s">
        <v>622</v>
      </c>
      <c r="J105" s="12" t="s">
        <v>622</v>
      </c>
      <c r="K105" s="12" t="s">
        <v>622</v>
      </c>
      <c r="L105" s="12" t="s">
        <v>622</v>
      </c>
      <c r="M105" s="12" t="s">
        <v>622</v>
      </c>
      <c r="N105" s="12" t="s">
        <v>622</v>
      </c>
      <c r="O105" s="12" t="s">
        <v>622</v>
      </c>
      <c r="P105" s="12" t="s">
        <v>79</v>
      </c>
      <c r="Q105" s="12" t="s">
        <v>79</v>
      </c>
      <c r="R105" s="12" t="s">
        <v>79</v>
      </c>
      <c r="S105" s="12" t="s">
        <v>622</v>
      </c>
    </row>
    <row r="106" spans="1:19" x14ac:dyDescent="0.3">
      <c r="A106" s="10" t="s">
        <v>690</v>
      </c>
      <c r="B106" s="10" t="s">
        <v>691</v>
      </c>
      <c r="C106" s="12" t="s">
        <v>622</v>
      </c>
      <c r="D106" s="12" t="s">
        <v>622</v>
      </c>
      <c r="E106" s="12" t="s">
        <v>622</v>
      </c>
      <c r="F106" s="12" t="s">
        <v>622</v>
      </c>
      <c r="G106" s="12" t="s">
        <v>622</v>
      </c>
      <c r="H106" s="12" t="s">
        <v>622</v>
      </c>
      <c r="I106" s="12" t="s">
        <v>622</v>
      </c>
      <c r="J106" s="12" t="s">
        <v>622</v>
      </c>
      <c r="K106" s="12" t="s">
        <v>622</v>
      </c>
      <c r="L106" s="12" t="s">
        <v>622</v>
      </c>
      <c r="M106" s="12" t="s">
        <v>622</v>
      </c>
      <c r="N106" s="12" t="s">
        <v>622</v>
      </c>
      <c r="O106" s="12" t="s">
        <v>622</v>
      </c>
      <c r="P106" s="12" t="s">
        <v>79</v>
      </c>
      <c r="Q106" s="12" t="s">
        <v>79</v>
      </c>
      <c r="R106" s="12" t="s">
        <v>79</v>
      </c>
      <c r="S106" s="12" t="s">
        <v>622</v>
      </c>
    </row>
    <row r="107" spans="1:19" x14ac:dyDescent="0.3">
      <c r="A107" s="10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</row>
    <row r="108" spans="1:19" x14ac:dyDescent="0.3">
      <c r="A108" s="10" t="s">
        <v>1189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</row>
    <row r="109" spans="1:19" x14ac:dyDescent="0.3">
      <c r="A109" s="10" t="s">
        <v>1190</v>
      </c>
      <c r="B109" s="10" t="s">
        <v>1191</v>
      </c>
      <c r="C109" s="12" t="s">
        <v>622</v>
      </c>
      <c r="D109" s="12" t="s">
        <v>622</v>
      </c>
      <c r="E109" s="12" t="s">
        <v>622</v>
      </c>
      <c r="F109" s="12" t="s">
        <v>622</v>
      </c>
      <c r="G109" s="12" t="s">
        <v>622</v>
      </c>
      <c r="H109" s="12" t="s">
        <v>622</v>
      </c>
      <c r="I109" s="12" t="s">
        <v>622</v>
      </c>
      <c r="J109" s="12" t="s">
        <v>622</v>
      </c>
      <c r="K109" s="12" t="s">
        <v>622</v>
      </c>
      <c r="L109" s="12" t="s">
        <v>622</v>
      </c>
      <c r="M109" s="12" t="s">
        <v>622</v>
      </c>
      <c r="N109" s="12" t="s">
        <v>78</v>
      </c>
      <c r="O109" s="12" t="s">
        <v>78</v>
      </c>
      <c r="P109" s="12" t="s">
        <v>78</v>
      </c>
      <c r="Q109" s="12" t="s">
        <v>78</v>
      </c>
      <c r="R109" s="12" t="s">
        <v>78</v>
      </c>
      <c r="S109" s="12" t="s">
        <v>78</v>
      </c>
    </row>
    <row r="110" spans="1:19" x14ac:dyDescent="0.3">
      <c r="A110" s="10" t="s">
        <v>1192</v>
      </c>
      <c r="B110" s="10" t="s">
        <v>1193</v>
      </c>
      <c r="C110" s="12" t="s">
        <v>622</v>
      </c>
      <c r="D110" s="12" t="s">
        <v>622</v>
      </c>
      <c r="E110" s="12" t="s">
        <v>622</v>
      </c>
      <c r="F110" s="12" t="s">
        <v>622</v>
      </c>
      <c r="G110" s="12" t="s">
        <v>622</v>
      </c>
      <c r="H110" s="12" t="s">
        <v>622</v>
      </c>
      <c r="I110" s="12" t="s">
        <v>622</v>
      </c>
      <c r="J110" s="12" t="s">
        <v>622</v>
      </c>
      <c r="K110" s="12" t="s">
        <v>622</v>
      </c>
      <c r="L110" s="12" t="s">
        <v>622</v>
      </c>
      <c r="M110" s="12" t="s">
        <v>622</v>
      </c>
      <c r="N110" s="12" t="s">
        <v>78</v>
      </c>
      <c r="O110" s="12" t="s">
        <v>78</v>
      </c>
      <c r="P110" s="12" t="s">
        <v>78</v>
      </c>
      <c r="Q110" s="12" t="s">
        <v>78</v>
      </c>
      <c r="R110" s="12" t="s">
        <v>78</v>
      </c>
      <c r="S110" s="12" t="s">
        <v>78</v>
      </c>
    </row>
    <row r="111" spans="1:19" x14ac:dyDescent="0.3">
      <c r="A111" s="10" t="s">
        <v>1194</v>
      </c>
      <c r="B111" s="10" t="s">
        <v>1195</v>
      </c>
      <c r="C111" s="12" t="s">
        <v>622</v>
      </c>
      <c r="D111" s="12" t="s">
        <v>622</v>
      </c>
      <c r="E111" s="12" t="s">
        <v>622</v>
      </c>
      <c r="F111" s="12" t="s">
        <v>622</v>
      </c>
      <c r="G111" s="12" t="s">
        <v>622</v>
      </c>
      <c r="H111" s="12" t="s">
        <v>622</v>
      </c>
      <c r="I111" s="12" t="s">
        <v>622</v>
      </c>
      <c r="J111" s="12" t="s">
        <v>622</v>
      </c>
      <c r="K111" s="12" t="s">
        <v>622</v>
      </c>
      <c r="L111" s="12" t="s">
        <v>622</v>
      </c>
      <c r="M111" s="12" t="s">
        <v>622</v>
      </c>
      <c r="N111" s="12" t="s">
        <v>78</v>
      </c>
      <c r="O111" s="12" t="s">
        <v>78</v>
      </c>
      <c r="P111" s="12" t="s">
        <v>78</v>
      </c>
      <c r="Q111" s="12" t="s">
        <v>78</v>
      </c>
      <c r="R111" s="12" t="s">
        <v>78</v>
      </c>
      <c r="S111" s="12" t="s">
        <v>78</v>
      </c>
    </row>
    <row r="112" spans="1:19" x14ac:dyDescent="0.3">
      <c r="A112" s="10" t="s">
        <v>1196</v>
      </c>
      <c r="B112" s="10" t="s">
        <v>1197</v>
      </c>
      <c r="C112" s="12" t="s">
        <v>622</v>
      </c>
      <c r="D112" s="12" t="s">
        <v>622</v>
      </c>
      <c r="E112" s="12" t="s">
        <v>622</v>
      </c>
      <c r="F112" s="12" t="s">
        <v>622</v>
      </c>
      <c r="G112" s="12" t="s">
        <v>622</v>
      </c>
      <c r="H112" s="12" t="s">
        <v>622</v>
      </c>
      <c r="I112" s="12" t="s">
        <v>622</v>
      </c>
      <c r="J112" s="12" t="s">
        <v>622</v>
      </c>
      <c r="K112" s="12" t="s">
        <v>622</v>
      </c>
      <c r="L112" s="12" t="s">
        <v>622</v>
      </c>
      <c r="M112" s="12" t="s">
        <v>622</v>
      </c>
      <c r="N112" s="12" t="s">
        <v>78</v>
      </c>
      <c r="O112" s="12" t="s">
        <v>78</v>
      </c>
      <c r="P112" s="12" t="s">
        <v>78</v>
      </c>
      <c r="Q112" s="12" t="s">
        <v>78</v>
      </c>
      <c r="R112" s="12" t="s">
        <v>78</v>
      </c>
      <c r="S112" s="12" t="s">
        <v>78</v>
      </c>
    </row>
    <row r="113" spans="1:19" x14ac:dyDescent="0.3">
      <c r="A113" s="10" t="s">
        <v>1198</v>
      </c>
      <c r="B113" s="10" t="s">
        <v>1199</v>
      </c>
      <c r="C113" s="12" t="s">
        <v>622</v>
      </c>
      <c r="D113" s="12" t="s">
        <v>622</v>
      </c>
      <c r="E113" s="12" t="s">
        <v>622</v>
      </c>
      <c r="F113" s="12" t="s">
        <v>622</v>
      </c>
      <c r="G113" s="12" t="s">
        <v>622</v>
      </c>
      <c r="H113" s="12" t="s">
        <v>622</v>
      </c>
      <c r="I113" s="12" t="s">
        <v>622</v>
      </c>
      <c r="J113" s="12" t="s">
        <v>622</v>
      </c>
      <c r="K113" s="12" t="s">
        <v>622</v>
      </c>
      <c r="L113" s="12" t="s">
        <v>622</v>
      </c>
      <c r="M113" s="12" t="s">
        <v>622</v>
      </c>
      <c r="N113" s="12" t="s">
        <v>78</v>
      </c>
      <c r="O113" s="12" t="s">
        <v>78</v>
      </c>
      <c r="P113" s="12" t="s">
        <v>78</v>
      </c>
      <c r="Q113" s="12" t="s">
        <v>78</v>
      </c>
      <c r="R113" s="12" t="s">
        <v>78</v>
      </c>
      <c r="S113" s="12" t="s">
        <v>78</v>
      </c>
    </row>
    <row r="114" spans="1:19" x14ac:dyDescent="0.3">
      <c r="A114" s="10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</row>
    <row r="115" spans="1:19" x14ac:dyDescent="0.3">
      <c r="A115" s="10" t="s">
        <v>1200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</row>
    <row r="116" spans="1:19" x14ac:dyDescent="0.3">
      <c r="A116" s="10" t="s">
        <v>1201</v>
      </c>
      <c r="B116" s="10" t="s">
        <v>1202</v>
      </c>
      <c r="C116" s="12" t="s">
        <v>622</v>
      </c>
      <c r="D116" s="12" t="s">
        <v>622</v>
      </c>
      <c r="E116" s="12" t="s">
        <v>622</v>
      </c>
      <c r="F116" s="12" t="s">
        <v>622</v>
      </c>
      <c r="G116" s="12" t="s">
        <v>622</v>
      </c>
      <c r="H116" s="12" t="s">
        <v>622</v>
      </c>
      <c r="I116" s="12" t="s">
        <v>622</v>
      </c>
      <c r="J116" s="12" t="s">
        <v>78</v>
      </c>
      <c r="K116" s="12" t="s">
        <v>78</v>
      </c>
      <c r="L116" s="12" t="s">
        <v>78</v>
      </c>
      <c r="M116" s="12" t="s">
        <v>78</v>
      </c>
      <c r="N116" s="12" t="s">
        <v>78</v>
      </c>
      <c r="O116" s="12" t="s">
        <v>78</v>
      </c>
      <c r="P116" s="12" t="s">
        <v>78</v>
      </c>
      <c r="Q116" s="12" t="s">
        <v>78</v>
      </c>
      <c r="R116" s="12" t="s">
        <v>78</v>
      </c>
      <c r="S116" s="12" t="s">
        <v>78</v>
      </c>
    </row>
    <row r="117" spans="1:19" x14ac:dyDescent="0.3">
      <c r="A117" s="10" t="s">
        <v>1203</v>
      </c>
      <c r="B117" s="10" t="s">
        <v>1204</v>
      </c>
      <c r="C117" s="12" t="s">
        <v>622</v>
      </c>
      <c r="D117" s="12" t="s">
        <v>622</v>
      </c>
      <c r="E117" s="12" t="s">
        <v>622</v>
      </c>
      <c r="F117" s="12" t="s">
        <v>622</v>
      </c>
      <c r="G117" s="12" t="s">
        <v>622</v>
      </c>
      <c r="H117" s="12" t="s">
        <v>622</v>
      </c>
      <c r="I117" s="12" t="s">
        <v>622</v>
      </c>
      <c r="J117" s="12" t="s">
        <v>78</v>
      </c>
      <c r="K117" s="12" t="s">
        <v>78</v>
      </c>
      <c r="L117" s="12" t="s">
        <v>78</v>
      </c>
      <c r="M117" s="12" t="s">
        <v>78</v>
      </c>
      <c r="N117" s="12" t="s">
        <v>78</v>
      </c>
      <c r="O117" s="12" t="s">
        <v>78</v>
      </c>
      <c r="P117" s="12" t="s">
        <v>78</v>
      </c>
      <c r="Q117" s="12" t="s">
        <v>78</v>
      </c>
      <c r="R117" s="12" t="s">
        <v>78</v>
      </c>
      <c r="S117" s="12" t="s">
        <v>78</v>
      </c>
    </row>
    <row r="118" spans="1:19" x14ac:dyDescent="0.3">
      <c r="A118" s="10" t="s">
        <v>1205</v>
      </c>
      <c r="B118" s="10" t="s">
        <v>1206</v>
      </c>
      <c r="C118" s="12" t="s">
        <v>622</v>
      </c>
      <c r="D118" s="12" t="s">
        <v>622</v>
      </c>
      <c r="E118" s="12" t="s">
        <v>622</v>
      </c>
      <c r="F118" s="12" t="s">
        <v>622</v>
      </c>
      <c r="G118" s="12" t="s">
        <v>622</v>
      </c>
      <c r="H118" s="12" t="s">
        <v>622</v>
      </c>
      <c r="I118" s="12" t="s">
        <v>622</v>
      </c>
      <c r="J118" s="12" t="s">
        <v>78</v>
      </c>
      <c r="K118" s="12" t="s">
        <v>78</v>
      </c>
      <c r="L118" s="12" t="s">
        <v>78</v>
      </c>
      <c r="M118" s="12" t="s">
        <v>78</v>
      </c>
      <c r="N118" s="12" t="s">
        <v>78</v>
      </c>
      <c r="O118" s="12" t="s">
        <v>78</v>
      </c>
      <c r="P118" s="12" t="s">
        <v>78</v>
      </c>
      <c r="Q118" s="12" t="s">
        <v>78</v>
      </c>
      <c r="R118" s="12" t="s">
        <v>78</v>
      </c>
      <c r="S118" s="12" t="s">
        <v>78</v>
      </c>
    </row>
    <row r="119" spans="1:19" x14ac:dyDescent="0.3">
      <c r="A119" s="10" t="s">
        <v>1207</v>
      </c>
      <c r="B119" s="10" t="s">
        <v>1208</v>
      </c>
      <c r="C119" s="12" t="s">
        <v>622</v>
      </c>
      <c r="D119" s="12" t="s">
        <v>622</v>
      </c>
      <c r="E119" s="12" t="s">
        <v>622</v>
      </c>
      <c r="F119" s="12" t="s">
        <v>622</v>
      </c>
      <c r="G119" s="12" t="s">
        <v>622</v>
      </c>
      <c r="H119" s="12" t="s">
        <v>622</v>
      </c>
      <c r="I119" s="12" t="s">
        <v>622</v>
      </c>
      <c r="J119" s="12" t="s">
        <v>78</v>
      </c>
      <c r="K119" s="12" t="s">
        <v>78</v>
      </c>
      <c r="L119" s="12" t="s">
        <v>78</v>
      </c>
      <c r="M119" s="12" t="s">
        <v>78</v>
      </c>
      <c r="N119" s="12" t="s">
        <v>78</v>
      </c>
      <c r="O119" s="12" t="s">
        <v>78</v>
      </c>
      <c r="P119" s="12" t="s">
        <v>78</v>
      </c>
      <c r="Q119" s="12" t="s">
        <v>78</v>
      </c>
      <c r="R119" s="12" t="s">
        <v>78</v>
      </c>
      <c r="S119" s="12" t="s">
        <v>78</v>
      </c>
    </row>
    <row r="120" spans="1:19" x14ac:dyDescent="0.3">
      <c r="A120" s="10" t="s">
        <v>1209</v>
      </c>
      <c r="B120" s="10" t="s">
        <v>1210</v>
      </c>
      <c r="C120" s="12" t="s">
        <v>622</v>
      </c>
      <c r="D120" s="12" t="s">
        <v>622</v>
      </c>
      <c r="E120" s="12" t="s">
        <v>622</v>
      </c>
      <c r="F120" s="12" t="s">
        <v>622</v>
      </c>
      <c r="G120" s="12" t="s">
        <v>622</v>
      </c>
      <c r="H120" s="12" t="s">
        <v>622</v>
      </c>
      <c r="I120" s="12" t="s">
        <v>622</v>
      </c>
      <c r="J120" s="12" t="s">
        <v>79</v>
      </c>
      <c r="K120" s="12" t="s">
        <v>79</v>
      </c>
      <c r="L120" s="12" t="s">
        <v>79</v>
      </c>
      <c r="M120" s="12" t="s">
        <v>79</v>
      </c>
      <c r="N120" s="12" t="s">
        <v>79</v>
      </c>
      <c r="O120" s="12" t="s">
        <v>79</v>
      </c>
      <c r="P120" s="12" t="s">
        <v>79</v>
      </c>
      <c r="Q120" s="12" t="s">
        <v>79</v>
      </c>
      <c r="R120" s="12" t="s">
        <v>79</v>
      </c>
      <c r="S120" s="12" t="s">
        <v>622</v>
      </c>
    </row>
    <row r="121" spans="1:19" x14ac:dyDescent="0.3">
      <c r="A121" s="10" t="s">
        <v>1211</v>
      </c>
      <c r="B121" s="10" t="s">
        <v>1212</v>
      </c>
      <c r="C121" s="12" t="s">
        <v>622</v>
      </c>
      <c r="D121" s="12" t="s">
        <v>622</v>
      </c>
      <c r="E121" s="12" t="s">
        <v>622</v>
      </c>
      <c r="F121" s="12" t="s">
        <v>622</v>
      </c>
      <c r="G121" s="12" t="s">
        <v>622</v>
      </c>
      <c r="H121" s="12" t="s">
        <v>78</v>
      </c>
      <c r="I121" s="12" t="s">
        <v>78</v>
      </c>
      <c r="J121" s="12" t="s">
        <v>78</v>
      </c>
      <c r="K121" s="12" t="s">
        <v>78</v>
      </c>
      <c r="L121" s="12" t="s">
        <v>78</v>
      </c>
      <c r="M121" s="12" t="s">
        <v>78</v>
      </c>
      <c r="N121" s="12" t="s">
        <v>78</v>
      </c>
      <c r="O121" s="12" t="s">
        <v>78</v>
      </c>
      <c r="P121" s="12" t="s">
        <v>78</v>
      </c>
      <c r="Q121" s="12" t="s">
        <v>78</v>
      </c>
      <c r="R121" s="12" t="s">
        <v>78</v>
      </c>
      <c r="S121" s="12" t="s">
        <v>622</v>
      </c>
    </row>
    <row r="122" spans="1:19" x14ac:dyDescent="0.3">
      <c r="A122" s="10" t="s">
        <v>1213</v>
      </c>
      <c r="B122" s="10" t="s">
        <v>1214</v>
      </c>
      <c r="C122" s="12" t="s">
        <v>79</v>
      </c>
      <c r="D122" s="12" t="s">
        <v>79</v>
      </c>
      <c r="E122" s="12" t="s">
        <v>79</v>
      </c>
      <c r="F122" s="12" t="s">
        <v>79</v>
      </c>
      <c r="G122" s="12" t="s">
        <v>79</v>
      </c>
      <c r="H122" s="12" t="s">
        <v>79</v>
      </c>
      <c r="I122" s="12" t="s">
        <v>79</v>
      </c>
      <c r="J122" s="12" t="s">
        <v>79</v>
      </c>
      <c r="K122" s="12" t="s">
        <v>79</v>
      </c>
      <c r="L122" s="12" t="s">
        <v>79</v>
      </c>
      <c r="M122" s="12" t="s">
        <v>79</v>
      </c>
      <c r="N122" s="12" t="s">
        <v>79</v>
      </c>
      <c r="O122" s="12" t="s">
        <v>79</v>
      </c>
      <c r="P122" s="12" t="s">
        <v>79</v>
      </c>
      <c r="Q122" s="12" t="s">
        <v>79</v>
      </c>
      <c r="R122" s="12" t="s">
        <v>79</v>
      </c>
      <c r="S122" s="12" t="s">
        <v>79</v>
      </c>
    </row>
    <row r="123" spans="1:19" x14ac:dyDescent="0.3">
      <c r="A123" s="10" t="s">
        <v>1215</v>
      </c>
      <c r="B123" s="10" t="s">
        <v>1216</v>
      </c>
      <c r="C123" s="12" t="s">
        <v>78</v>
      </c>
      <c r="D123" s="12" t="s">
        <v>78</v>
      </c>
      <c r="E123" s="12" t="s">
        <v>79</v>
      </c>
      <c r="F123" s="12" t="s">
        <v>79</v>
      </c>
      <c r="G123" s="12" t="s">
        <v>79</v>
      </c>
      <c r="H123" s="12" t="s">
        <v>79</v>
      </c>
      <c r="I123" s="12" t="s">
        <v>79</v>
      </c>
      <c r="J123" s="12" t="s">
        <v>79</v>
      </c>
      <c r="K123" s="12" t="s">
        <v>79</v>
      </c>
      <c r="L123" s="12" t="s">
        <v>79</v>
      </c>
      <c r="M123" s="12" t="s">
        <v>79</v>
      </c>
      <c r="N123" s="12" t="s">
        <v>79</v>
      </c>
      <c r="O123" s="12" t="s">
        <v>79</v>
      </c>
      <c r="P123" s="12" t="s">
        <v>79</v>
      </c>
      <c r="Q123" s="12" t="s">
        <v>79</v>
      </c>
      <c r="R123" s="12" t="s">
        <v>79</v>
      </c>
      <c r="S123" s="12" t="s">
        <v>622</v>
      </c>
    </row>
    <row r="124" spans="1:19" x14ac:dyDescent="0.3">
      <c r="A124" s="10" t="s">
        <v>1217</v>
      </c>
      <c r="B124" s="10" t="s">
        <v>1218</v>
      </c>
      <c r="C124" s="14" t="s">
        <v>65</v>
      </c>
      <c r="D124" s="14" t="s">
        <v>65</v>
      </c>
      <c r="E124" s="14" t="s">
        <v>65</v>
      </c>
      <c r="F124" s="14" t="s">
        <v>65</v>
      </c>
      <c r="G124" s="14" t="s">
        <v>65</v>
      </c>
      <c r="H124" s="14" t="s">
        <v>65</v>
      </c>
      <c r="I124" s="14" t="s">
        <v>65</v>
      </c>
      <c r="J124" s="14">
        <v>1</v>
      </c>
      <c r="K124" s="14">
        <v>1</v>
      </c>
      <c r="L124" s="14">
        <v>1</v>
      </c>
      <c r="M124" s="14">
        <v>1</v>
      </c>
      <c r="N124" s="14">
        <v>1</v>
      </c>
      <c r="O124" s="14">
        <v>1</v>
      </c>
      <c r="P124" s="14">
        <v>1</v>
      </c>
      <c r="Q124" s="14">
        <v>1</v>
      </c>
      <c r="R124" s="14">
        <v>1</v>
      </c>
      <c r="S124" s="14" t="s">
        <v>65</v>
      </c>
    </row>
    <row r="125" spans="1:19" x14ac:dyDescent="0.3">
      <c r="A125" s="10" t="s">
        <v>1219</v>
      </c>
      <c r="B125" s="10" t="s">
        <v>1220</v>
      </c>
      <c r="C125" s="12" t="s">
        <v>622</v>
      </c>
      <c r="D125" s="12" t="s">
        <v>622</v>
      </c>
      <c r="E125" s="12" t="s">
        <v>622</v>
      </c>
      <c r="F125" s="12" t="s">
        <v>622</v>
      </c>
      <c r="G125" s="12" t="s">
        <v>622</v>
      </c>
      <c r="H125" s="12" t="s">
        <v>622</v>
      </c>
      <c r="I125" s="12" t="s">
        <v>622</v>
      </c>
      <c r="J125" s="12" t="s">
        <v>78</v>
      </c>
      <c r="K125" s="12" t="s">
        <v>78</v>
      </c>
      <c r="L125" s="12" t="s">
        <v>78</v>
      </c>
      <c r="M125" s="12" t="s">
        <v>78</v>
      </c>
      <c r="N125" s="12" t="s">
        <v>78</v>
      </c>
      <c r="O125" s="12" t="s">
        <v>78</v>
      </c>
      <c r="P125" s="12" t="s">
        <v>78</v>
      </c>
      <c r="Q125" s="12" t="s">
        <v>78</v>
      </c>
      <c r="R125" s="12" t="s">
        <v>78</v>
      </c>
      <c r="S125" s="12" t="s">
        <v>622</v>
      </c>
    </row>
    <row r="126" spans="1:19" x14ac:dyDescent="0.3">
      <c r="A126" s="10" t="s">
        <v>822</v>
      </c>
      <c r="B126" s="10" t="s">
        <v>823</v>
      </c>
      <c r="C126" s="14">
        <v>1</v>
      </c>
      <c r="D126" s="14">
        <v>1</v>
      </c>
      <c r="E126" s="14">
        <v>1</v>
      </c>
      <c r="F126" s="14">
        <v>1</v>
      </c>
      <c r="G126" s="14">
        <v>1</v>
      </c>
      <c r="H126" s="14">
        <v>1</v>
      </c>
      <c r="I126" s="14">
        <v>1</v>
      </c>
      <c r="J126" s="14">
        <v>1</v>
      </c>
      <c r="K126" s="14">
        <v>1</v>
      </c>
      <c r="L126" s="14">
        <v>1</v>
      </c>
      <c r="M126" s="14">
        <v>1</v>
      </c>
      <c r="N126" s="14">
        <v>1</v>
      </c>
      <c r="O126" s="14">
        <v>1</v>
      </c>
      <c r="P126" s="14">
        <v>1</v>
      </c>
      <c r="Q126" s="14">
        <v>1</v>
      </c>
      <c r="R126" s="14">
        <v>1</v>
      </c>
      <c r="S126" s="14" t="s">
        <v>65</v>
      </c>
    </row>
    <row r="127" spans="1:19" x14ac:dyDescent="0.3">
      <c r="A127" s="10" t="s">
        <v>1221</v>
      </c>
      <c r="B127" s="10" t="s">
        <v>1222</v>
      </c>
      <c r="C127" s="14">
        <v>1</v>
      </c>
      <c r="D127" s="14">
        <v>1</v>
      </c>
      <c r="E127" s="14">
        <v>1</v>
      </c>
      <c r="F127" s="14">
        <v>1</v>
      </c>
      <c r="G127" s="14">
        <v>1</v>
      </c>
      <c r="H127" s="14">
        <v>1</v>
      </c>
      <c r="I127" s="14">
        <v>1</v>
      </c>
      <c r="J127" s="14">
        <v>1</v>
      </c>
      <c r="K127" s="14">
        <v>1</v>
      </c>
      <c r="L127" s="14">
        <v>1</v>
      </c>
      <c r="M127" s="14">
        <v>1</v>
      </c>
      <c r="N127" s="14">
        <v>1</v>
      </c>
      <c r="O127" s="14">
        <v>1</v>
      </c>
      <c r="P127" s="14">
        <v>1</v>
      </c>
      <c r="Q127" s="14">
        <v>1</v>
      </c>
      <c r="R127" s="14">
        <v>1</v>
      </c>
      <c r="S127" s="14" t="s">
        <v>65</v>
      </c>
    </row>
    <row r="128" spans="1:19" x14ac:dyDescent="0.3">
      <c r="A128" s="10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</row>
    <row r="129" spans="1:19" x14ac:dyDescent="0.3">
      <c r="A129" s="10" t="s">
        <v>1223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</row>
    <row r="130" spans="1:19" x14ac:dyDescent="0.3">
      <c r="A130" s="10" t="s">
        <v>1224</v>
      </c>
      <c r="B130" s="10" t="s">
        <v>1225</v>
      </c>
      <c r="C130" s="12" t="s">
        <v>622</v>
      </c>
      <c r="D130" s="12" t="s">
        <v>622</v>
      </c>
      <c r="E130" s="12" t="s">
        <v>622</v>
      </c>
      <c r="F130" s="12" t="s">
        <v>79</v>
      </c>
      <c r="G130" s="12" t="s">
        <v>79</v>
      </c>
      <c r="H130" s="12" t="s">
        <v>79</v>
      </c>
      <c r="I130" s="12" t="s">
        <v>79</v>
      </c>
      <c r="J130" s="12" t="s">
        <v>79</v>
      </c>
      <c r="K130" s="12" t="s">
        <v>79</v>
      </c>
      <c r="L130" s="12" t="s">
        <v>79</v>
      </c>
      <c r="M130" s="12" t="s">
        <v>79</v>
      </c>
      <c r="N130" s="12" t="s">
        <v>79</v>
      </c>
      <c r="O130" s="12" t="s">
        <v>79</v>
      </c>
      <c r="P130" s="12" t="s">
        <v>79</v>
      </c>
      <c r="Q130" s="12" t="s">
        <v>79</v>
      </c>
      <c r="R130" s="12" t="s">
        <v>79</v>
      </c>
      <c r="S130" s="12" t="s">
        <v>622</v>
      </c>
    </row>
    <row r="131" spans="1:19" x14ac:dyDescent="0.3">
      <c r="A131" s="10" t="s">
        <v>1226</v>
      </c>
      <c r="B131" s="10" t="s">
        <v>1227</v>
      </c>
      <c r="C131" s="14" t="s">
        <v>65</v>
      </c>
      <c r="D131" s="14" t="s">
        <v>65</v>
      </c>
      <c r="E131" s="14" t="s">
        <v>65</v>
      </c>
      <c r="F131" s="14" t="s">
        <v>65</v>
      </c>
      <c r="G131" s="14">
        <v>1</v>
      </c>
      <c r="H131" s="14">
        <v>1</v>
      </c>
      <c r="I131" s="14">
        <v>1</v>
      </c>
      <c r="J131" s="14">
        <v>1</v>
      </c>
      <c r="K131" s="14">
        <v>1</v>
      </c>
      <c r="L131" s="14">
        <v>1</v>
      </c>
      <c r="M131" s="14">
        <v>1</v>
      </c>
      <c r="N131" s="14">
        <v>1</v>
      </c>
      <c r="O131" s="14">
        <v>1</v>
      </c>
      <c r="P131" s="14">
        <v>1</v>
      </c>
      <c r="Q131" s="14">
        <v>1</v>
      </c>
      <c r="R131" s="14">
        <v>1</v>
      </c>
      <c r="S131" s="14" t="s">
        <v>65</v>
      </c>
    </row>
    <row r="132" spans="1:19" x14ac:dyDescent="0.3">
      <c r="A132" s="10" t="s">
        <v>1228</v>
      </c>
      <c r="B132" s="10" t="s">
        <v>1229</v>
      </c>
      <c r="C132" s="14" t="s">
        <v>65</v>
      </c>
      <c r="D132" s="14" t="s">
        <v>65</v>
      </c>
      <c r="E132" s="14" t="s">
        <v>65</v>
      </c>
      <c r="F132" s="14" t="s">
        <v>65</v>
      </c>
      <c r="G132" s="14">
        <v>98.17</v>
      </c>
      <c r="H132" s="14">
        <v>98.17</v>
      </c>
      <c r="I132" s="14">
        <v>99.519000000000005</v>
      </c>
      <c r="J132" s="14">
        <v>96.263000000000005</v>
      </c>
      <c r="K132" s="14">
        <v>96.563999999999993</v>
      </c>
      <c r="L132" s="14">
        <v>96.453000000000003</v>
      </c>
      <c r="M132" s="14">
        <v>96.004000000000005</v>
      </c>
      <c r="N132" s="14">
        <v>96.05</v>
      </c>
      <c r="O132" s="14">
        <v>86.968999999999994</v>
      </c>
      <c r="P132" s="14">
        <v>97.524000000000001</v>
      </c>
      <c r="Q132" s="14">
        <v>97.927999999999997</v>
      </c>
      <c r="R132" s="14">
        <v>93.495000000000005</v>
      </c>
      <c r="S132" s="14" t="s">
        <v>65</v>
      </c>
    </row>
    <row r="133" spans="1:19" x14ac:dyDescent="0.3">
      <c r="A133" s="10" t="s">
        <v>1230</v>
      </c>
      <c r="B133" s="10" t="s">
        <v>1231</v>
      </c>
      <c r="C133" s="13" t="s">
        <v>65</v>
      </c>
      <c r="D133" s="13" t="s">
        <v>65</v>
      </c>
      <c r="E133" s="13" t="s">
        <v>65</v>
      </c>
      <c r="F133" s="13" t="s">
        <v>65</v>
      </c>
      <c r="G133" s="13">
        <v>579.21500000000003</v>
      </c>
      <c r="H133" s="13">
        <v>579.21500000000003</v>
      </c>
      <c r="I133" s="13">
        <v>589.28399999999999</v>
      </c>
      <c r="J133" s="13">
        <v>553.83600000000001</v>
      </c>
      <c r="K133" s="13">
        <v>552.476</v>
      </c>
      <c r="L133" s="13">
        <v>547.78</v>
      </c>
      <c r="M133" s="13">
        <v>541.36</v>
      </c>
      <c r="N133" s="13">
        <v>532.33199999999999</v>
      </c>
      <c r="O133" s="13">
        <v>484.52600000000001</v>
      </c>
      <c r="P133" s="13">
        <v>538.42899999999997</v>
      </c>
      <c r="Q133" s="13">
        <v>530.11400000000003</v>
      </c>
      <c r="R133" s="13">
        <v>78.475999999999999</v>
      </c>
      <c r="S133" s="13" t="s">
        <v>65</v>
      </c>
    </row>
    <row r="134" spans="1:19" x14ac:dyDescent="0.3">
      <c r="A134" s="10" t="s">
        <v>1232</v>
      </c>
      <c r="B134" s="10" t="s">
        <v>1233</v>
      </c>
      <c r="C134" s="13" t="s">
        <v>65</v>
      </c>
      <c r="D134" s="13" t="s">
        <v>65</v>
      </c>
      <c r="E134" s="13" t="s">
        <v>65</v>
      </c>
      <c r="F134" s="13" t="s">
        <v>65</v>
      </c>
      <c r="G134" s="13">
        <v>10.8</v>
      </c>
      <c r="H134" s="13">
        <v>10.8</v>
      </c>
      <c r="I134" s="13">
        <v>2.8479999999999999</v>
      </c>
      <c r="J134" s="13">
        <v>21.498999999999999</v>
      </c>
      <c r="K134" s="13">
        <v>19.658000000000001</v>
      </c>
      <c r="L134" s="13">
        <v>20.146000000000001</v>
      </c>
      <c r="M134" s="13">
        <v>22.530999999999999</v>
      </c>
      <c r="N134" s="13">
        <v>21.893999999999998</v>
      </c>
      <c r="O134" s="13">
        <v>72.597999999999999</v>
      </c>
      <c r="P134" s="13">
        <v>13.67</v>
      </c>
      <c r="Q134" s="13">
        <v>11.218999999999999</v>
      </c>
      <c r="R134" s="13">
        <v>5.46</v>
      </c>
      <c r="S134" s="13" t="s">
        <v>65</v>
      </c>
    </row>
    <row r="135" spans="1:19" x14ac:dyDescent="0.3">
      <c r="A135" s="10" t="s">
        <v>1234</v>
      </c>
      <c r="B135" s="10" t="s">
        <v>1235</v>
      </c>
      <c r="C135" s="12" t="s">
        <v>622</v>
      </c>
      <c r="D135" s="12" t="s">
        <v>622</v>
      </c>
      <c r="E135" s="12" t="s">
        <v>622</v>
      </c>
      <c r="F135" s="12" t="s">
        <v>79</v>
      </c>
      <c r="G135" s="12" t="s">
        <v>79</v>
      </c>
      <c r="H135" s="12" t="s">
        <v>79</v>
      </c>
      <c r="I135" s="12" t="s">
        <v>79</v>
      </c>
      <c r="J135" s="12" t="s">
        <v>79</v>
      </c>
      <c r="K135" s="12" t="s">
        <v>79</v>
      </c>
      <c r="L135" s="12" t="s">
        <v>79</v>
      </c>
      <c r="M135" s="12" t="s">
        <v>79</v>
      </c>
      <c r="N135" s="12" t="s">
        <v>79</v>
      </c>
      <c r="O135" s="12" t="s">
        <v>79</v>
      </c>
      <c r="P135" s="12" t="s">
        <v>79</v>
      </c>
      <c r="Q135" s="12" t="s">
        <v>79</v>
      </c>
      <c r="R135" s="12" t="s">
        <v>79</v>
      </c>
      <c r="S135" s="12" t="s">
        <v>622</v>
      </c>
    </row>
    <row r="136" spans="1:19" x14ac:dyDescent="0.3">
      <c r="A136" s="10" t="s">
        <v>1236</v>
      </c>
      <c r="B136" s="10" t="s">
        <v>1237</v>
      </c>
      <c r="C136" s="14" t="s">
        <v>65</v>
      </c>
      <c r="D136" s="14" t="s">
        <v>65</v>
      </c>
      <c r="E136" s="14" t="s">
        <v>65</v>
      </c>
      <c r="F136" s="14" t="s">
        <v>65</v>
      </c>
      <c r="G136" s="14" t="s">
        <v>65</v>
      </c>
      <c r="H136" s="14" t="s">
        <v>65</v>
      </c>
      <c r="I136" s="14" t="s">
        <v>65</v>
      </c>
      <c r="J136" s="14" t="s">
        <v>65</v>
      </c>
      <c r="K136" s="14" t="s">
        <v>65</v>
      </c>
      <c r="L136" s="14" t="s">
        <v>65</v>
      </c>
      <c r="M136" s="14" t="s">
        <v>65</v>
      </c>
      <c r="N136" s="14">
        <v>99.266999999999996</v>
      </c>
      <c r="O136" s="14">
        <v>98.984999999999999</v>
      </c>
      <c r="P136" s="14">
        <v>97.549000000000007</v>
      </c>
      <c r="Q136" s="14">
        <v>98.504000000000005</v>
      </c>
      <c r="R136" s="14">
        <v>95.727999999999994</v>
      </c>
      <c r="S136" s="14" t="s">
        <v>65</v>
      </c>
    </row>
    <row r="137" spans="1:19" x14ac:dyDescent="0.3">
      <c r="A137" s="10" t="s">
        <v>1238</v>
      </c>
      <c r="B137" s="10" t="s">
        <v>1239</v>
      </c>
      <c r="C137" s="13" t="s">
        <v>65</v>
      </c>
      <c r="D137" s="13" t="s">
        <v>65</v>
      </c>
      <c r="E137" s="13" t="s">
        <v>65</v>
      </c>
      <c r="F137" s="13" t="s">
        <v>65</v>
      </c>
      <c r="G137" s="13" t="s">
        <v>65</v>
      </c>
      <c r="H137" s="13" t="s">
        <v>65</v>
      </c>
      <c r="I137" s="13" t="s">
        <v>65</v>
      </c>
      <c r="J137" s="13" t="s">
        <v>65</v>
      </c>
      <c r="K137" s="13" t="s">
        <v>65</v>
      </c>
      <c r="L137" s="13" t="s">
        <v>65</v>
      </c>
      <c r="M137" s="13" t="s">
        <v>65</v>
      </c>
      <c r="N137" s="13">
        <v>552.63099999999997</v>
      </c>
      <c r="O137" s="13">
        <v>553.39499999999998</v>
      </c>
      <c r="P137" s="13">
        <v>541.78399999999999</v>
      </c>
      <c r="Q137" s="13">
        <v>537.28399999999999</v>
      </c>
      <c r="R137" s="13">
        <v>88.266999999999996</v>
      </c>
      <c r="S137" s="13" t="s">
        <v>65</v>
      </c>
    </row>
    <row r="138" spans="1:19" x14ac:dyDescent="0.3">
      <c r="A138" s="10" t="s">
        <v>1240</v>
      </c>
      <c r="B138" s="10" t="s">
        <v>1241</v>
      </c>
      <c r="C138" s="13" t="s">
        <v>65</v>
      </c>
      <c r="D138" s="13" t="s">
        <v>65</v>
      </c>
      <c r="E138" s="13" t="s">
        <v>65</v>
      </c>
      <c r="F138" s="13" t="s">
        <v>65</v>
      </c>
      <c r="G138" s="13" t="s">
        <v>65</v>
      </c>
      <c r="H138" s="13" t="s">
        <v>65</v>
      </c>
      <c r="I138" s="13" t="s">
        <v>65</v>
      </c>
      <c r="J138" s="13" t="s">
        <v>65</v>
      </c>
      <c r="K138" s="13" t="s">
        <v>65</v>
      </c>
      <c r="L138" s="13" t="s">
        <v>65</v>
      </c>
      <c r="M138" s="13" t="s">
        <v>65</v>
      </c>
      <c r="N138" s="13">
        <v>4.0789999999999997</v>
      </c>
      <c r="O138" s="13">
        <v>5.6719999999999997</v>
      </c>
      <c r="P138" s="13">
        <v>13.614000000000001</v>
      </c>
      <c r="Q138" s="13">
        <v>8.1620000000000008</v>
      </c>
      <c r="R138" s="13">
        <v>3.9390000000000001</v>
      </c>
      <c r="S138" s="13" t="s">
        <v>65</v>
      </c>
    </row>
    <row r="139" spans="1:19" x14ac:dyDescent="0.3">
      <c r="A139" s="10" t="s">
        <v>758</v>
      </c>
      <c r="B139" s="10" t="s">
        <v>759</v>
      </c>
      <c r="C139" s="14" t="s">
        <v>65</v>
      </c>
      <c r="D139" s="14" t="s">
        <v>65</v>
      </c>
      <c r="E139" s="14" t="s">
        <v>65</v>
      </c>
      <c r="F139" s="14">
        <v>15</v>
      </c>
      <c r="G139" s="14">
        <v>16</v>
      </c>
      <c r="H139" s="14">
        <v>17</v>
      </c>
      <c r="I139" s="14">
        <v>18</v>
      </c>
      <c r="J139" s="14">
        <v>19</v>
      </c>
      <c r="K139" s="14">
        <v>20</v>
      </c>
      <c r="L139" s="14">
        <v>21</v>
      </c>
      <c r="M139" s="14">
        <v>22</v>
      </c>
      <c r="N139" s="14">
        <v>23</v>
      </c>
      <c r="O139" s="14">
        <v>24</v>
      </c>
      <c r="P139" s="14">
        <v>25</v>
      </c>
      <c r="Q139" s="14">
        <v>26</v>
      </c>
      <c r="R139" s="14">
        <v>27</v>
      </c>
      <c r="S139" s="14">
        <v>28</v>
      </c>
    </row>
    <row r="140" spans="1:19" x14ac:dyDescent="0.3">
      <c r="A140" s="10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</row>
    <row r="141" spans="1:19" x14ac:dyDescent="0.3">
      <c r="A141" s="10" t="s">
        <v>1242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</row>
    <row r="142" spans="1:19" x14ac:dyDescent="0.3">
      <c r="A142" s="7" t="s">
        <v>90</v>
      </c>
      <c r="B142" s="7"/>
      <c r="C142" s="7" t="s">
        <v>91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9"/>
  <sheetViews>
    <sheetView workbookViewId="0">
      <selection activeCell="I25" sqref="I25"/>
    </sheetView>
  </sheetViews>
  <sheetFormatPr defaultRowHeight="14.4" x14ac:dyDescent="0.3"/>
  <cols>
    <col min="1" max="1" width="35.109375" customWidth="1"/>
    <col min="2" max="2" width="0" hidden="1" customWidth="1"/>
    <col min="3" max="20" width="11.88671875" customWidth="1"/>
  </cols>
  <sheetData>
    <row r="1" spans="1:2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1" x14ac:dyDescent="0.3">
      <c r="A2" s="8" t="s">
        <v>1243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3">
      <c r="A4" s="3" t="s">
        <v>1</v>
      </c>
      <c r="B4" s="3"/>
      <c r="C4" s="4" t="s">
        <v>1244</v>
      </c>
      <c r="D4" s="4" t="s">
        <v>257</v>
      </c>
      <c r="E4" s="4" t="s">
        <v>258</v>
      </c>
      <c r="F4" s="4" t="s">
        <v>259</v>
      </c>
      <c r="G4" s="4" t="s">
        <v>2</v>
      </c>
      <c r="H4" s="4" t="s">
        <v>3</v>
      </c>
      <c r="I4" s="4" t="s">
        <v>4</v>
      </c>
      <c r="J4" s="4" t="s">
        <v>5</v>
      </c>
      <c r="K4" s="4" t="s">
        <v>6</v>
      </c>
      <c r="L4" s="4" t="s">
        <v>7</v>
      </c>
      <c r="M4" s="4" t="s">
        <v>8</v>
      </c>
      <c r="N4" s="4" t="s">
        <v>9</v>
      </c>
      <c r="O4" s="4" t="s">
        <v>10</v>
      </c>
      <c r="P4" s="4" t="s">
        <v>11</v>
      </c>
      <c r="Q4" s="4" t="s">
        <v>12</v>
      </c>
      <c r="R4" s="4" t="s">
        <v>13</v>
      </c>
      <c r="S4" s="4" t="s">
        <v>14</v>
      </c>
      <c r="T4" s="4" t="s">
        <v>15</v>
      </c>
    </row>
    <row r="5" spans="1:20" x14ac:dyDescent="0.3">
      <c r="A5" s="9" t="s">
        <v>20</v>
      </c>
      <c r="B5" s="9"/>
      <c r="C5" s="5" t="s">
        <v>1245</v>
      </c>
      <c r="D5" s="5" t="s">
        <v>260</v>
      </c>
      <c r="E5" s="5" t="s">
        <v>261</v>
      </c>
      <c r="F5" s="5" t="s">
        <v>262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  <c r="M5" s="5" t="s">
        <v>27</v>
      </c>
      <c r="N5" s="5" t="s">
        <v>28</v>
      </c>
      <c r="O5" s="5" t="s">
        <v>29</v>
      </c>
      <c r="P5" s="5" t="s">
        <v>30</v>
      </c>
      <c r="Q5" s="5" t="s">
        <v>31</v>
      </c>
      <c r="R5" s="5" t="s">
        <v>32</v>
      </c>
      <c r="S5" s="5" t="s">
        <v>33</v>
      </c>
      <c r="T5" s="5" t="s">
        <v>34</v>
      </c>
    </row>
    <row r="6" spans="1:20" x14ac:dyDescent="0.3">
      <c r="A6" s="6" t="s">
        <v>1246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0" x14ac:dyDescent="0.3">
      <c r="A7" s="6" t="s">
        <v>1247</v>
      </c>
      <c r="B7" s="6" t="s">
        <v>1248</v>
      </c>
      <c r="C7" s="19" t="s">
        <v>65</v>
      </c>
      <c r="D7" s="19">
        <v>2205200</v>
      </c>
      <c r="E7" s="19">
        <v>19768990</v>
      </c>
      <c r="F7" s="19">
        <v>15798010</v>
      </c>
      <c r="G7" s="19">
        <v>22585320</v>
      </c>
      <c r="H7" s="19">
        <v>21115870</v>
      </c>
      <c r="I7" s="19">
        <v>18126130</v>
      </c>
      <c r="J7" s="19">
        <v>20116620</v>
      </c>
      <c r="K7" s="19">
        <v>17783980</v>
      </c>
      <c r="L7" s="19">
        <v>11657500</v>
      </c>
      <c r="M7" s="19">
        <v>20388160</v>
      </c>
      <c r="N7" s="19">
        <v>22007700</v>
      </c>
      <c r="O7" s="19">
        <v>20150770</v>
      </c>
      <c r="P7" s="19">
        <v>18479530</v>
      </c>
      <c r="Q7" s="19">
        <v>23279060</v>
      </c>
      <c r="R7" s="19">
        <v>22426840</v>
      </c>
      <c r="S7" s="19">
        <v>24351880</v>
      </c>
      <c r="T7" s="19">
        <v>25746430</v>
      </c>
    </row>
    <row r="8" spans="1:20" x14ac:dyDescent="0.3">
      <c r="A8" s="6" t="s">
        <v>1249</v>
      </c>
      <c r="B8" s="6" t="s">
        <v>1250</v>
      </c>
      <c r="C8" s="19" t="s">
        <v>65</v>
      </c>
      <c r="D8" s="19">
        <v>734795</v>
      </c>
      <c r="E8" s="19">
        <v>7818620</v>
      </c>
      <c r="F8" s="19">
        <v>5725290</v>
      </c>
      <c r="G8" s="19">
        <v>9117810</v>
      </c>
      <c r="H8" s="19">
        <v>6907820</v>
      </c>
      <c r="I8" s="19">
        <v>3551350</v>
      </c>
      <c r="J8" s="19">
        <v>6942060</v>
      </c>
      <c r="K8" s="19">
        <v>5834220</v>
      </c>
      <c r="L8" s="19">
        <v>5778960</v>
      </c>
      <c r="M8" s="19">
        <v>7104930</v>
      </c>
      <c r="N8" s="19">
        <v>5106570</v>
      </c>
      <c r="O8" s="19">
        <v>5129080</v>
      </c>
      <c r="P8" s="19">
        <v>3618400</v>
      </c>
      <c r="Q8" s="19">
        <v>8088550</v>
      </c>
      <c r="R8" s="19">
        <v>6941810</v>
      </c>
      <c r="S8" s="19">
        <v>9066160</v>
      </c>
      <c r="T8" s="19">
        <v>9495230</v>
      </c>
    </row>
    <row r="9" spans="1:20" x14ac:dyDescent="0.3">
      <c r="A9" s="10" t="s">
        <v>1251</v>
      </c>
      <c r="B9" s="10" t="s">
        <v>1252</v>
      </c>
      <c r="C9" s="13" t="s">
        <v>65</v>
      </c>
      <c r="D9" s="13">
        <v>0</v>
      </c>
      <c r="E9" s="13">
        <v>5007130</v>
      </c>
      <c r="F9" s="13">
        <v>2450150</v>
      </c>
      <c r="G9" s="13">
        <v>5240050</v>
      </c>
      <c r="H9" s="13">
        <v>2836040</v>
      </c>
      <c r="I9" s="13">
        <v>0</v>
      </c>
      <c r="J9" s="13">
        <v>3688620</v>
      </c>
      <c r="K9" s="13">
        <v>2961540</v>
      </c>
      <c r="L9" s="13">
        <v>2518830</v>
      </c>
      <c r="M9" s="13">
        <v>3724730</v>
      </c>
      <c r="N9" s="13">
        <v>2204070</v>
      </c>
      <c r="O9" s="13">
        <v>2339120</v>
      </c>
      <c r="P9" s="13">
        <v>852732</v>
      </c>
      <c r="Q9" s="13">
        <v>5268060</v>
      </c>
      <c r="R9" s="13">
        <v>4035100</v>
      </c>
      <c r="S9" s="13">
        <v>6111160</v>
      </c>
      <c r="T9" s="13">
        <v>6446050</v>
      </c>
    </row>
    <row r="10" spans="1:20" x14ac:dyDescent="0.3">
      <c r="A10" s="10" t="s">
        <v>1253</v>
      </c>
      <c r="B10" s="10" t="s">
        <v>1254</v>
      </c>
      <c r="C10" s="13">
        <v>3348900</v>
      </c>
      <c r="D10" s="13">
        <v>2771280</v>
      </c>
      <c r="E10" s="13">
        <v>3166260</v>
      </c>
      <c r="F10" s="13">
        <v>3317030</v>
      </c>
      <c r="G10" s="13">
        <v>3806920</v>
      </c>
      <c r="H10" s="13">
        <v>4071790</v>
      </c>
      <c r="I10" s="13">
        <v>3551350</v>
      </c>
      <c r="J10" s="13">
        <v>3253440</v>
      </c>
      <c r="K10" s="13">
        <v>2872670</v>
      </c>
      <c r="L10" s="13">
        <v>3260140</v>
      </c>
      <c r="M10" s="13">
        <v>3380200</v>
      </c>
      <c r="N10" s="13">
        <v>2902500</v>
      </c>
      <c r="O10" s="13">
        <v>2789960</v>
      </c>
      <c r="P10" s="13">
        <v>2765670</v>
      </c>
      <c r="Q10" s="13">
        <v>2820490</v>
      </c>
      <c r="R10" s="13">
        <v>2906710</v>
      </c>
      <c r="S10" s="13">
        <v>2955000</v>
      </c>
      <c r="T10" s="13">
        <v>3049180</v>
      </c>
    </row>
    <row r="11" spans="1:20" x14ac:dyDescent="0.3">
      <c r="A11" s="10" t="s">
        <v>1255</v>
      </c>
      <c r="B11" s="10" t="s">
        <v>1256</v>
      </c>
      <c r="C11" s="13">
        <v>82634</v>
      </c>
      <c r="D11" s="13">
        <v>1415260</v>
      </c>
      <c r="E11" s="13">
        <v>430829</v>
      </c>
      <c r="F11" s="13">
        <v>151745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</row>
    <row r="12" spans="1:20" x14ac:dyDescent="0.3">
      <c r="A12" s="6" t="s">
        <v>1257</v>
      </c>
      <c r="B12" s="6" t="s">
        <v>1258</v>
      </c>
      <c r="C12" s="19" t="s">
        <v>65</v>
      </c>
      <c r="D12" s="19">
        <v>1470410</v>
      </c>
      <c r="E12" s="19">
        <v>11950370</v>
      </c>
      <c r="F12" s="19">
        <v>10072720</v>
      </c>
      <c r="G12" s="19">
        <v>13467510</v>
      </c>
      <c r="H12" s="19">
        <v>14208040</v>
      </c>
      <c r="I12" s="19">
        <v>14574780</v>
      </c>
      <c r="J12" s="19">
        <v>13174560</v>
      </c>
      <c r="K12" s="19">
        <v>11949760</v>
      </c>
      <c r="L12" s="19">
        <v>5878530</v>
      </c>
      <c r="M12" s="19">
        <v>13283230</v>
      </c>
      <c r="N12" s="19">
        <v>16901130</v>
      </c>
      <c r="O12" s="19">
        <v>15021690</v>
      </c>
      <c r="P12" s="19">
        <v>14861130</v>
      </c>
      <c r="Q12" s="19">
        <v>15190510</v>
      </c>
      <c r="R12" s="19">
        <v>15485030</v>
      </c>
      <c r="S12" s="19">
        <v>15285720</v>
      </c>
      <c r="T12" s="19">
        <v>16251200</v>
      </c>
    </row>
    <row r="13" spans="1:20" x14ac:dyDescent="0.3">
      <c r="A13" s="10" t="s">
        <v>1259</v>
      </c>
      <c r="B13" s="10" t="s">
        <v>1260</v>
      </c>
      <c r="C13" s="13" t="s">
        <v>65</v>
      </c>
      <c r="D13" s="13">
        <v>0</v>
      </c>
      <c r="E13" s="13">
        <v>8475000</v>
      </c>
      <c r="F13" s="13">
        <v>7260000</v>
      </c>
      <c r="G13" s="13">
        <v>9480000</v>
      </c>
      <c r="H13" s="13">
        <v>10228750</v>
      </c>
      <c r="I13" s="13">
        <v>8768750</v>
      </c>
      <c r="J13" s="13">
        <v>12625000</v>
      </c>
      <c r="K13" s="13">
        <v>11375000</v>
      </c>
      <c r="L13" s="13">
        <v>3000000</v>
      </c>
      <c r="M13" s="13">
        <v>12560000</v>
      </c>
      <c r="N13" s="13">
        <v>15650000</v>
      </c>
      <c r="O13" s="13">
        <v>13600000</v>
      </c>
      <c r="P13" s="13">
        <v>13750000</v>
      </c>
      <c r="Q13" s="13">
        <v>14400000</v>
      </c>
      <c r="R13" s="13">
        <v>14500000</v>
      </c>
      <c r="S13" s="13">
        <v>14150000</v>
      </c>
      <c r="T13" s="13">
        <v>15485000</v>
      </c>
    </row>
    <row r="14" spans="1:20" x14ac:dyDescent="0.3">
      <c r="A14" s="10" t="s">
        <v>1261</v>
      </c>
      <c r="B14" s="10" t="s">
        <v>1262</v>
      </c>
      <c r="C14" s="13" t="s">
        <v>65</v>
      </c>
      <c r="D14" s="13">
        <v>7508770</v>
      </c>
      <c r="E14" s="13">
        <v>2825000</v>
      </c>
      <c r="F14" s="13">
        <v>2420000</v>
      </c>
      <c r="G14" s="13">
        <v>3160000</v>
      </c>
      <c r="H14" s="13">
        <v>3176250</v>
      </c>
      <c r="I14" s="13">
        <v>2856250</v>
      </c>
      <c r="J14" s="13">
        <v>0</v>
      </c>
      <c r="K14" s="13">
        <v>0</v>
      </c>
      <c r="L14" s="13">
        <v>1399200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</row>
    <row r="15" spans="1:20" x14ac:dyDescent="0.3">
      <c r="A15" s="10" t="s">
        <v>1263</v>
      </c>
      <c r="B15" s="10" t="s">
        <v>1264</v>
      </c>
      <c r="C15" s="13" t="s">
        <v>65</v>
      </c>
      <c r="D15" s="13">
        <v>0</v>
      </c>
      <c r="E15" s="13">
        <v>148123</v>
      </c>
      <c r="F15" s="13">
        <v>244160</v>
      </c>
      <c r="G15" s="13">
        <v>526195</v>
      </c>
      <c r="H15" s="13">
        <v>723681</v>
      </c>
      <c r="I15" s="13">
        <v>623393</v>
      </c>
      <c r="J15" s="13">
        <v>355437</v>
      </c>
      <c r="K15" s="13">
        <v>474314</v>
      </c>
      <c r="L15" s="13">
        <v>470830</v>
      </c>
      <c r="M15" s="13">
        <v>445420</v>
      </c>
      <c r="N15" s="13">
        <v>481204</v>
      </c>
      <c r="O15" s="13">
        <v>315095</v>
      </c>
      <c r="P15" s="13">
        <v>323439</v>
      </c>
      <c r="Q15" s="13">
        <v>224686</v>
      </c>
      <c r="R15" s="13">
        <v>591728</v>
      </c>
      <c r="S15" s="13">
        <v>465097</v>
      </c>
      <c r="T15" s="13">
        <v>643500</v>
      </c>
    </row>
    <row r="16" spans="1:20" x14ac:dyDescent="0.3">
      <c r="A16" s="10" t="s">
        <v>1265</v>
      </c>
      <c r="B16" s="10" t="s">
        <v>1266</v>
      </c>
      <c r="C16" s="13">
        <v>0</v>
      </c>
      <c r="D16" s="13">
        <v>2024249.9999999998</v>
      </c>
      <c r="E16" s="13">
        <v>502251</v>
      </c>
      <c r="F16" s="13">
        <v>148557</v>
      </c>
      <c r="G16" s="13">
        <v>301319</v>
      </c>
      <c r="H16" s="13">
        <v>79363</v>
      </c>
      <c r="I16" s="13">
        <v>2326390</v>
      </c>
      <c r="J16" s="13">
        <v>194122</v>
      </c>
      <c r="K16" s="13">
        <v>100446</v>
      </c>
      <c r="L16" s="13">
        <v>1008500</v>
      </c>
      <c r="M16" s="13">
        <v>277810</v>
      </c>
      <c r="N16" s="13">
        <v>769930</v>
      </c>
      <c r="O16" s="13">
        <v>1106590</v>
      </c>
      <c r="P16" s="13">
        <v>787689</v>
      </c>
      <c r="Q16" s="13">
        <v>565825</v>
      </c>
      <c r="R16" s="13">
        <v>393304</v>
      </c>
      <c r="S16" s="13">
        <v>670626</v>
      </c>
      <c r="T16" s="13">
        <v>122702</v>
      </c>
    </row>
    <row r="17" spans="1:20" x14ac:dyDescent="0.3">
      <c r="A17" s="10" t="s">
        <v>1267</v>
      </c>
      <c r="B17" s="10" t="s">
        <v>1268</v>
      </c>
      <c r="C17" s="14">
        <v>3</v>
      </c>
      <c r="D17" s="14">
        <v>5</v>
      </c>
      <c r="E17" s="14">
        <v>2</v>
      </c>
      <c r="F17" s="14">
        <v>0</v>
      </c>
      <c r="G17" s="14">
        <v>2</v>
      </c>
      <c r="H17" s="14">
        <v>2</v>
      </c>
      <c r="I17" s="14">
        <v>2</v>
      </c>
      <c r="J17" s="14">
        <v>0</v>
      </c>
      <c r="K17" s="14">
        <v>0</v>
      </c>
      <c r="L17" s="14">
        <v>3</v>
      </c>
      <c r="M17" s="14">
        <v>2</v>
      </c>
      <c r="N17" s="14">
        <v>2</v>
      </c>
      <c r="O17" s="14">
        <v>1</v>
      </c>
      <c r="P17" s="14">
        <v>1</v>
      </c>
      <c r="Q17" s="14">
        <v>0</v>
      </c>
      <c r="R17" s="14">
        <v>1</v>
      </c>
      <c r="S17" s="14">
        <v>2</v>
      </c>
      <c r="T17" s="14">
        <v>0</v>
      </c>
    </row>
    <row r="18" spans="1:20" x14ac:dyDescent="0.3">
      <c r="A18" s="10" t="s">
        <v>1269</v>
      </c>
      <c r="B18" s="10" t="s">
        <v>1270</v>
      </c>
      <c r="C18" s="12" t="s">
        <v>1245</v>
      </c>
      <c r="D18" s="12" t="s">
        <v>1271</v>
      </c>
      <c r="E18" s="12" t="s">
        <v>261</v>
      </c>
      <c r="F18" s="12" t="s">
        <v>261</v>
      </c>
      <c r="G18" s="12" t="s">
        <v>21</v>
      </c>
      <c r="H18" s="12" t="s">
        <v>1272</v>
      </c>
      <c r="I18" s="12" t="s">
        <v>1273</v>
      </c>
      <c r="J18" s="12" t="s">
        <v>1274</v>
      </c>
      <c r="K18" s="12" t="s">
        <v>1274</v>
      </c>
      <c r="L18" s="12" t="s">
        <v>26</v>
      </c>
      <c r="M18" s="12" t="s">
        <v>27</v>
      </c>
      <c r="N18" s="12" t="s">
        <v>1275</v>
      </c>
      <c r="O18" s="12" t="s">
        <v>1276</v>
      </c>
      <c r="P18" s="12" t="s">
        <v>1277</v>
      </c>
      <c r="Q18" s="12" t="s">
        <v>1277</v>
      </c>
      <c r="R18" s="12" t="s">
        <v>32</v>
      </c>
      <c r="S18" s="12" t="s">
        <v>1278</v>
      </c>
      <c r="T18" s="12" t="s">
        <v>1278</v>
      </c>
    </row>
    <row r="19" spans="1:20" x14ac:dyDescent="0.3">
      <c r="A19" s="10" t="s">
        <v>1279</v>
      </c>
      <c r="B19" s="10" t="s">
        <v>1280</v>
      </c>
      <c r="C19" s="14">
        <v>6</v>
      </c>
      <c r="D19" s="14">
        <v>6</v>
      </c>
      <c r="E19" s="14">
        <v>6</v>
      </c>
      <c r="F19" s="14">
        <v>7</v>
      </c>
      <c r="G19" s="14">
        <v>8</v>
      </c>
      <c r="H19" s="14">
        <v>8</v>
      </c>
      <c r="I19" s="14">
        <v>7</v>
      </c>
      <c r="J19" s="14">
        <v>6</v>
      </c>
      <c r="K19" s="14">
        <v>5</v>
      </c>
      <c r="L19" s="14">
        <v>6</v>
      </c>
      <c r="M19" s="14">
        <v>8</v>
      </c>
      <c r="N19" s="14">
        <v>7</v>
      </c>
      <c r="O19" s="14">
        <v>5</v>
      </c>
      <c r="P19" s="14">
        <v>5</v>
      </c>
      <c r="Q19" s="14">
        <v>5</v>
      </c>
      <c r="R19" s="14">
        <v>5</v>
      </c>
      <c r="S19" s="14">
        <v>5</v>
      </c>
      <c r="T19" s="14">
        <v>5</v>
      </c>
    </row>
    <row r="20" spans="1:20" x14ac:dyDescent="0.3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3">
      <c r="A21" s="6" t="s">
        <v>1281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</row>
    <row r="22" spans="1:20" x14ac:dyDescent="0.3">
      <c r="A22" s="6" t="s">
        <v>1079</v>
      </c>
      <c r="B22" s="6" t="s">
        <v>1080</v>
      </c>
      <c r="C22" s="18" t="s">
        <v>622</v>
      </c>
      <c r="D22" s="18" t="s">
        <v>622</v>
      </c>
      <c r="E22" s="18" t="s">
        <v>78</v>
      </c>
      <c r="F22" s="18" t="s">
        <v>78</v>
      </c>
      <c r="G22" s="18" t="s">
        <v>78</v>
      </c>
      <c r="H22" s="18" t="s">
        <v>78</v>
      </c>
      <c r="I22" s="18" t="s">
        <v>78</v>
      </c>
      <c r="J22" s="18" t="s">
        <v>78</v>
      </c>
      <c r="K22" s="18" t="s">
        <v>78</v>
      </c>
      <c r="L22" s="18" t="s">
        <v>78</v>
      </c>
      <c r="M22" s="18" t="s">
        <v>78</v>
      </c>
      <c r="N22" s="18" t="s">
        <v>78</v>
      </c>
      <c r="O22" s="18" t="s">
        <v>78</v>
      </c>
      <c r="P22" s="18" t="s">
        <v>78</v>
      </c>
      <c r="Q22" s="18" t="s">
        <v>78</v>
      </c>
      <c r="R22" s="18" t="s">
        <v>78</v>
      </c>
      <c r="S22" s="18" t="s">
        <v>78</v>
      </c>
      <c r="T22" s="18" t="s">
        <v>78</v>
      </c>
    </row>
    <row r="23" spans="1:20" x14ac:dyDescent="0.3">
      <c r="A23" s="6" t="s">
        <v>1247</v>
      </c>
      <c r="B23" s="6" t="s">
        <v>1282</v>
      </c>
      <c r="C23" s="19" t="s">
        <v>65</v>
      </c>
      <c r="D23" s="19" t="s">
        <v>65</v>
      </c>
      <c r="E23" s="19">
        <v>8119579.9999999991</v>
      </c>
      <c r="F23" s="19">
        <v>6047430</v>
      </c>
      <c r="G23" s="19">
        <v>8394580</v>
      </c>
      <c r="H23" s="19">
        <v>6750050</v>
      </c>
      <c r="I23" s="19">
        <v>5734730</v>
      </c>
      <c r="J23" s="19">
        <v>8328720.0000000009</v>
      </c>
      <c r="K23" s="19">
        <v>8020830</v>
      </c>
      <c r="L23" s="19">
        <v>5191770</v>
      </c>
      <c r="M23" s="19">
        <v>7484070</v>
      </c>
      <c r="N23" s="19">
        <v>8215100</v>
      </c>
      <c r="O23" s="19">
        <v>10236300</v>
      </c>
      <c r="P23" s="19">
        <v>9356770</v>
      </c>
      <c r="Q23" s="19">
        <v>11114960</v>
      </c>
      <c r="R23" s="19">
        <v>10482330</v>
      </c>
      <c r="S23" s="19">
        <v>11345970</v>
      </c>
      <c r="T23" s="19">
        <v>12574920</v>
      </c>
    </row>
    <row r="24" spans="1:20" x14ac:dyDescent="0.3">
      <c r="A24" s="6" t="s">
        <v>1249</v>
      </c>
      <c r="B24" s="6" t="s">
        <v>1283</v>
      </c>
      <c r="C24" s="19" t="s">
        <v>65</v>
      </c>
      <c r="D24" s="19" t="s">
        <v>65</v>
      </c>
      <c r="E24" s="19">
        <v>2937500</v>
      </c>
      <c r="F24" s="19">
        <v>1904950</v>
      </c>
      <c r="G24" s="19">
        <v>3044970</v>
      </c>
      <c r="H24" s="19">
        <v>1967500</v>
      </c>
      <c r="I24" s="19">
        <v>1000000</v>
      </c>
      <c r="J24" s="19">
        <v>2525000</v>
      </c>
      <c r="K24" s="19">
        <v>2237500</v>
      </c>
      <c r="L24" s="19">
        <v>2593930</v>
      </c>
      <c r="M24" s="19">
        <v>2077189.9999999998</v>
      </c>
      <c r="N24" s="19">
        <v>1837380</v>
      </c>
      <c r="O24" s="19">
        <v>1852500</v>
      </c>
      <c r="P24" s="19">
        <v>1333560</v>
      </c>
      <c r="Q24" s="19">
        <v>3325000</v>
      </c>
      <c r="R24" s="19">
        <v>2740750</v>
      </c>
      <c r="S24" s="19">
        <v>3800000</v>
      </c>
      <c r="T24" s="19">
        <v>3950690</v>
      </c>
    </row>
    <row r="25" spans="1:20" x14ac:dyDescent="0.3">
      <c r="A25" s="10" t="s">
        <v>1251</v>
      </c>
      <c r="B25" s="10" t="s">
        <v>1284</v>
      </c>
      <c r="C25" s="13" t="s">
        <v>65</v>
      </c>
      <c r="D25" s="13">
        <v>0</v>
      </c>
      <c r="E25" s="13">
        <v>2000000</v>
      </c>
      <c r="F25" s="13">
        <v>904950</v>
      </c>
      <c r="G25" s="13">
        <v>2044970.0000000002</v>
      </c>
      <c r="H25" s="13">
        <v>967500</v>
      </c>
      <c r="I25" s="13">
        <v>0</v>
      </c>
      <c r="J25" s="13">
        <v>1525000</v>
      </c>
      <c r="K25" s="13">
        <v>1237500</v>
      </c>
      <c r="L25" s="13">
        <v>1237630</v>
      </c>
      <c r="M25" s="13">
        <v>1227190</v>
      </c>
      <c r="N25" s="13">
        <v>912041</v>
      </c>
      <c r="O25" s="13">
        <v>902500</v>
      </c>
      <c r="P25" s="13">
        <v>383562</v>
      </c>
      <c r="Q25" s="13">
        <v>2375000</v>
      </c>
      <c r="R25" s="13">
        <v>1790750</v>
      </c>
      <c r="S25" s="13">
        <v>2850000</v>
      </c>
      <c r="T25" s="13">
        <v>2963010</v>
      </c>
    </row>
    <row r="26" spans="1:20" x14ac:dyDescent="0.3">
      <c r="A26" s="10" t="s">
        <v>1253</v>
      </c>
      <c r="B26" s="10" t="s">
        <v>1285</v>
      </c>
      <c r="C26" s="13">
        <v>687500</v>
      </c>
      <c r="D26" s="13">
        <v>750000</v>
      </c>
      <c r="E26" s="13">
        <v>937500</v>
      </c>
      <c r="F26" s="13">
        <v>880700</v>
      </c>
      <c r="G26" s="13">
        <v>971200</v>
      </c>
      <c r="H26" s="13">
        <v>1000000</v>
      </c>
      <c r="I26" s="13">
        <v>1000000</v>
      </c>
      <c r="J26" s="13">
        <v>1000000</v>
      </c>
      <c r="K26" s="13">
        <v>1000000</v>
      </c>
      <c r="L26" s="13">
        <v>1356300</v>
      </c>
      <c r="M26" s="13">
        <v>850000</v>
      </c>
      <c r="N26" s="13">
        <v>925342</v>
      </c>
      <c r="O26" s="13">
        <v>950000</v>
      </c>
      <c r="P26" s="13">
        <v>950000</v>
      </c>
      <c r="Q26" s="13">
        <v>950000</v>
      </c>
      <c r="R26" s="13">
        <v>950000</v>
      </c>
      <c r="S26" s="13">
        <v>950000</v>
      </c>
      <c r="T26" s="13">
        <v>987671</v>
      </c>
    </row>
    <row r="27" spans="1:20" x14ac:dyDescent="0.3">
      <c r="A27" s="10" t="s">
        <v>1255</v>
      </c>
      <c r="B27" s="10" t="s">
        <v>1286</v>
      </c>
      <c r="C27" s="13">
        <v>0</v>
      </c>
      <c r="D27" s="13">
        <v>560650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</row>
    <row r="28" spans="1:20" x14ac:dyDescent="0.3">
      <c r="A28" s="6" t="s">
        <v>1257</v>
      </c>
      <c r="B28" s="6" t="s">
        <v>1287</v>
      </c>
      <c r="C28" s="19" t="s">
        <v>65</v>
      </c>
      <c r="D28" s="19" t="s">
        <v>65</v>
      </c>
      <c r="E28" s="19">
        <v>5182080</v>
      </c>
      <c r="F28" s="19">
        <v>4142480</v>
      </c>
      <c r="G28" s="19">
        <v>5349610</v>
      </c>
      <c r="H28" s="19">
        <v>4782550</v>
      </c>
      <c r="I28" s="19">
        <v>4734730</v>
      </c>
      <c r="J28" s="19">
        <v>5803720</v>
      </c>
      <c r="K28" s="19">
        <v>5783330</v>
      </c>
      <c r="L28" s="19">
        <v>2597840</v>
      </c>
      <c r="M28" s="19">
        <v>5406890</v>
      </c>
      <c r="N28" s="19">
        <v>6377720</v>
      </c>
      <c r="O28" s="19">
        <v>8383800.0000000009</v>
      </c>
      <c r="P28" s="19">
        <v>8023199.9999999991</v>
      </c>
      <c r="Q28" s="19">
        <v>7789960</v>
      </c>
      <c r="R28" s="19">
        <v>7741580</v>
      </c>
      <c r="S28" s="19">
        <v>7545970</v>
      </c>
      <c r="T28" s="19">
        <v>8624230</v>
      </c>
    </row>
    <row r="29" spans="1:20" x14ac:dyDescent="0.3">
      <c r="A29" s="10" t="s">
        <v>1259</v>
      </c>
      <c r="B29" s="10" t="s">
        <v>1288</v>
      </c>
      <c r="C29" s="13" t="s">
        <v>65</v>
      </c>
      <c r="D29" s="13">
        <v>0</v>
      </c>
      <c r="E29" s="13">
        <v>3750000</v>
      </c>
      <c r="F29" s="13">
        <v>3000000</v>
      </c>
      <c r="G29" s="13">
        <v>3750000</v>
      </c>
      <c r="H29" s="13">
        <v>3375000</v>
      </c>
      <c r="I29" s="13">
        <v>3375000</v>
      </c>
      <c r="J29" s="13">
        <v>5500000</v>
      </c>
      <c r="K29" s="13">
        <v>5500000</v>
      </c>
      <c r="L29" s="13">
        <v>0</v>
      </c>
      <c r="M29" s="13">
        <v>5000000</v>
      </c>
      <c r="N29" s="13">
        <v>5500000</v>
      </c>
      <c r="O29" s="13">
        <v>7200000</v>
      </c>
      <c r="P29" s="13">
        <v>7200000</v>
      </c>
      <c r="Q29" s="13">
        <v>7200000</v>
      </c>
      <c r="R29" s="13">
        <v>7200000</v>
      </c>
      <c r="S29" s="13">
        <v>7200000</v>
      </c>
      <c r="T29" s="13">
        <v>8285000</v>
      </c>
    </row>
    <row r="30" spans="1:20" x14ac:dyDescent="0.3">
      <c r="A30" s="10" t="s">
        <v>1261</v>
      </c>
      <c r="B30" s="10" t="s">
        <v>1289</v>
      </c>
      <c r="C30" s="13" t="s">
        <v>65</v>
      </c>
      <c r="D30" s="13">
        <v>3857180</v>
      </c>
      <c r="E30" s="13">
        <v>1250000</v>
      </c>
      <c r="F30" s="13">
        <v>1000000</v>
      </c>
      <c r="G30" s="13">
        <v>1250000</v>
      </c>
      <c r="H30" s="13">
        <v>1125000</v>
      </c>
      <c r="I30" s="13">
        <v>1125000</v>
      </c>
      <c r="J30" s="13">
        <v>0</v>
      </c>
      <c r="K30" s="13">
        <v>0</v>
      </c>
      <c r="L30" s="13">
        <v>1399200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</row>
    <row r="31" spans="1:20" x14ac:dyDescent="0.3">
      <c r="A31" s="10" t="s">
        <v>1263</v>
      </c>
      <c r="B31" s="10" t="s">
        <v>1290</v>
      </c>
      <c r="C31" s="13" t="s">
        <v>65</v>
      </c>
      <c r="D31" s="13">
        <v>0</v>
      </c>
      <c r="E31" s="13">
        <v>13800</v>
      </c>
      <c r="F31" s="13">
        <v>14273</v>
      </c>
      <c r="G31" s="13">
        <v>150815</v>
      </c>
      <c r="H31" s="13">
        <v>228897</v>
      </c>
      <c r="I31" s="13">
        <v>142400</v>
      </c>
      <c r="J31" s="13">
        <v>115000</v>
      </c>
      <c r="K31" s="13">
        <v>186850</v>
      </c>
      <c r="L31" s="13">
        <v>195190</v>
      </c>
      <c r="M31" s="13">
        <v>141262</v>
      </c>
      <c r="N31" s="13">
        <v>155821</v>
      </c>
      <c r="O31" s="13">
        <v>132613</v>
      </c>
      <c r="P31" s="13">
        <v>131850</v>
      </c>
      <c r="Q31" s="13">
        <v>89735</v>
      </c>
      <c r="R31" s="13">
        <v>249200</v>
      </c>
      <c r="S31" s="13">
        <v>202010</v>
      </c>
      <c r="T31" s="13">
        <v>281273</v>
      </c>
    </row>
    <row r="32" spans="1:20" x14ac:dyDescent="0.3">
      <c r="A32" s="10" t="s">
        <v>1265</v>
      </c>
      <c r="B32" s="10" t="s">
        <v>1291</v>
      </c>
      <c r="C32" s="13">
        <v>0</v>
      </c>
      <c r="D32" s="13">
        <v>54838</v>
      </c>
      <c r="E32" s="13">
        <v>168278</v>
      </c>
      <c r="F32" s="13">
        <v>128203</v>
      </c>
      <c r="G32" s="13">
        <v>198799</v>
      </c>
      <c r="H32" s="13">
        <v>53650</v>
      </c>
      <c r="I32" s="13">
        <v>92328</v>
      </c>
      <c r="J32" s="13">
        <v>188723</v>
      </c>
      <c r="K32" s="13">
        <v>96477</v>
      </c>
      <c r="L32" s="13">
        <v>1003450</v>
      </c>
      <c r="M32" s="13">
        <v>265623</v>
      </c>
      <c r="N32" s="13">
        <v>721898</v>
      </c>
      <c r="O32" s="13">
        <v>1051190</v>
      </c>
      <c r="P32" s="13">
        <v>691354</v>
      </c>
      <c r="Q32" s="13">
        <v>500220</v>
      </c>
      <c r="R32" s="13">
        <v>292382</v>
      </c>
      <c r="S32" s="13">
        <v>143962</v>
      </c>
      <c r="T32" s="13">
        <v>57960</v>
      </c>
    </row>
    <row r="33" spans="1:20" x14ac:dyDescent="0.3">
      <c r="A33" s="10" t="s">
        <v>1292</v>
      </c>
      <c r="B33" s="10" t="s">
        <v>1293</v>
      </c>
      <c r="C33" s="14">
        <v>1</v>
      </c>
      <c r="D33" s="14">
        <v>1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1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</row>
    <row r="34" spans="1:20" x14ac:dyDescent="0.3">
      <c r="A34" s="10" t="s">
        <v>1294</v>
      </c>
      <c r="B34" s="10" t="s">
        <v>1295</v>
      </c>
      <c r="C34" s="12" t="s">
        <v>1296</v>
      </c>
      <c r="D34" s="12" t="s">
        <v>1297</v>
      </c>
      <c r="E34" s="12" t="s">
        <v>1297</v>
      </c>
      <c r="F34" s="12" t="s">
        <v>1297</v>
      </c>
      <c r="G34" s="12" t="s">
        <v>1297</v>
      </c>
      <c r="H34" s="12" t="s">
        <v>1297</v>
      </c>
      <c r="I34" s="12" t="s">
        <v>1297</v>
      </c>
      <c r="J34" s="12" t="s">
        <v>1297</v>
      </c>
      <c r="K34" s="12" t="s">
        <v>1297</v>
      </c>
      <c r="L34" s="12" t="s">
        <v>1298</v>
      </c>
      <c r="M34" s="12" t="s">
        <v>1298</v>
      </c>
      <c r="N34" s="12" t="s">
        <v>1298</v>
      </c>
      <c r="O34" s="12" t="s">
        <v>1298</v>
      </c>
      <c r="P34" s="12" t="s">
        <v>1298</v>
      </c>
      <c r="Q34" s="12" t="s">
        <v>1298</v>
      </c>
      <c r="R34" s="12" t="s">
        <v>1298</v>
      </c>
      <c r="S34" s="12" t="s">
        <v>1298</v>
      </c>
      <c r="T34" s="12" t="s">
        <v>1298</v>
      </c>
    </row>
    <row r="35" spans="1:20" x14ac:dyDescent="0.3">
      <c r="A35" s="10" t="s">
        <v>1299</v>
      </c>
      <c r="B35" s="10" t="s">
        <v>1300</v>
      </c>
      <c r="C35" s="14">
        <v>1</v>
      </c>
      <c r="D35" s="14">
        <v>1</v>
      </c>
      <c r="E35" s="14">
        <v>1</v>
      </c>
      <c r="F35" s="14">
        <v>1</v>
      </c>
      <c r="G35" s="14">
        <v>1</v>
      </c>
      <c r="H35" s="14">
        <v>1</v>
      </c>
      <c r="I35" s="14">
        <v>1</v>
      </c>
      <c r="J35" s="14">
        <v>1</v>
      </c>
      <c r="K35" s="14">
        <v>1</v>
      </c>
      <c r="L35" s="14">
        <v>2</v>
      </c>
      <c r="M35" s="14">
        <v>1</v>
      </c>
      <c r="N35" s="14">
        <v>1</v>
      </c>
      <c r="O35" s="14">
        <v>1</v>
      </c>
      <c r="P35" s="14">
        <v>1</v>
      </c>
      <c r="Q35" s="14">
        <v>1</v>
      </c>
      <c r="R35" s="14">
        <v>1</v>
      </c>
      <c r="S35" s="14">
        <v>1</v>
      </c>
      <c r="T35" s="14">
        <v>1</v>
      </c>
    </row>
    <row r="36" spans="1:20" x14ac:dyDescent="0.3">
      <c r="A36" s="10" t="s">
        <v>1301</v>
      </c>
      <c r="B36" s="10" t="s">
        <v>1302</v>
      </c>
      <c r="C36" s="14" t="s">
        <v>65</v>
      </c>
      <c r="D36" s="14">
        <v>1</v>
      </c>
      <c r="E36" s="14">
        <v>2</v>
      </c>
      <c r="F36" s="14">
        <v>3</v>
      </c>
      <c r="G36" s="14">
        <v>4</v>
      </c>
      <c r="H36" s="14">
        <v>5</v>
      </c>
      <c r="I36" s="14">
        <v>6</v>
      </c>
      <c r="J36" s="14">
        <v>7</v>
      </c>
      <c r="K36" s="14">
        <v>8</v>
      </c>
      <c r="L36" s="14">
        <v>0.41666999999999998</v>
      </c>
      <c r="M36" s="14">
        <v>1.4166700000000001</v>
      </c>
      <c r="N36" s="14">
        <v>2.4166699999999999</v>
      </c>
      <c r="O36" s="14">
        <v>3.4166699999999999</v>
      </c>
      <c r="P36" s="14">
        <v>4.4166699999999999</v>
      </c>
      <c r="Q36" s="14">
        <v>5.4166699999999999</v>
      </c>
      <c r="R36" s="14">
        <v>6.4166699999999999</v>
      </c>
      <c r="S36" s="14">
        <v>7.4166699999999999</v>
      </c>
      <c r="T36" s="14">
        <v>8.4166699999999999</v>
      </c>
    </row>
    <row r="37" spans="1:20" x14ac:dyDescent="0.3">
      <c r="A37" s="10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</row>
    <row r="38" spans="1:20" x14ac:dyDescent="0.3">
      <c r="A38" s="6" t="s">
        <v>1303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</row>
    <row r="39" spans="1:20" x14ac:dyDescent="0.3">
      <c r="A39" s="6" t="s">
        <v>1304</v>
      </c>
      <c r="B39" s="6" t="s">
        <v>1305</v>
      </c>
      <c r="C39" s="19" t="s">
        <v>65</v>
      </c>
      <c r="D39" s="19">
        <v>2205200</v>
      </c>
      <c r="E39" s="19">
        <v>3190780</v>
      </c>
      <c r="F39" s="19">
        <v>2395570</v>
      </c>
      <c r="G39" s="19">
        <v>2996540</v>
      </c>
      <c r="H39" s="19">
        <v>3058530</v>
      </c>
      <c r="I39" s="19">
        <v>4925760</v>
      </c>
      <c r="J39" s="19">
        <v>2687100</v>
      </c>
      <c r="K39" s="19">
        <v>2675470</v>
      </c>
      <c r="L39" s="19">
        <v>1746280</v>
      </c>
      <c r="M39" s="19">
        <v>2779460</v>
      </c>
      <c r="N39" s="19">
        <v>4004390</v>
      </c>
      <c r="O39" s="19">
        <v>2265970</v>
      </c>
      <c r="P39" s="19">
        <v>2238570</v>
      </c>
      <c r="Q39" s="19">
        <v>3176550</v>
      </c>
      <c r="R39" s="19">
        <v>3340100</v>
      </c>
      <c r="S39" s="19">
        <v>3702690</v>
      </c>
      <c r="T39" s="19">
        <v>3848360</v>
      </c>
    </row>
    <row r="40" spans="1:20" x14ac:dyDescent="0.3">
      <c r="A40" s="6" t="s">
        <v>1306</v>
      </c>
      <c r="B40" s="6" t="s">
        <v>1307</v>
      </c>
      <c r="C40" s="19" t="s">
        <v>65</v>
      </c>
      <c r="D40" s="19" t="s">
        <v>65</v>
      </c>
      <c r="E40" s="19" t="s">
        <v>65</v>
      </c>
      <c r="F40" s="19" t="s">
        <v>65</v>
      </c>
      <c r="G40" s="19" t="s">
        <v>65</v>
      </c>
      <c r="H40" s="19" t="s">
        <v>65</v>
      </c>
      <c r="I40" s="19">
        <v>1639990</v>
      </c>
      <c r="J40" s="19">
        <v>2034740.0000000002</v>
      </c>
      <c r="K40" s="19">
        <v>2314440</v>
      </c>
      <c r="L40" s="19">
        <v>1564210</v>
      </c>
      <c r="M40" s="19">
        <v>2284440</v>
      </c>
      <c r="N40" s="19" t="s">
        <v>65</v>
      </c>
      <c r="O40" s="19">
        <v>2584980</v>
      </c>
      <c r="P40" s="19">
        <v>2247720</v>
      </c>
      <c r="Q40" s="19">
        <v>2842610</v>
      </c>
      <c r="R40" s="19">
        <v>3019560</v>
      </c>
      <c r="S40" s="19">
        <v>6257140</v>
      </c>
      <c r="T40" s="19">
        <v>3058640</v>
      </c>
    </row>
    <row r="41" spans="1:20" x14ac:dyDescent="0.3">
      <c r="A41" s="10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</row>
    <row r="42" spans="1:20" x14ac:dyDescent="0.3">
      <c r="A42" s="6" t="s">
        <v>1308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</row>
    <row r="43" spans="1:20" x14ac:dyDescent="0.3">
      <c r="A43" s="6" t="s">
        <v>1247</v>
      </c>
      <c r="B43" s="6" t="s">
        <v>1309</v>
      </c>
      <c r="C43" s="19" t="s">
        <v>65</v>
      </c>
      <c r="D43" s="19">
        <v>692500</v>
      </c>
      <c r="E43" s="19">
        <v>1015709.9999999999</v>
      </c>
      <c r="F43" s="19">
        <v>1626250</v>
      </c>
      <c r="G43" s="19">
        <v>1757880</v>
      </c>
      <c r="H43" s="19">
        <v>1693750</v>
      </c>
      <c r="I43" s="19">
        <v>1520570</v>
      </c>
      <c r="J43" s="19">
        <v>1693750</v>
      </c>
      <c r="K43" s="19">
        <v>1700930</v>
      </c>
      <c r="L43" s="19">
        <v>1899240</v>
      </c>
      <c r="M43" s="19">
        <v>1866550</v>
      </c>
      <c r="N43" s="19">
        <v>1937010</v>
      </c>
      <c r="O43" s="19">
        <v>1776250</v>
      </c>
      <c r="P43" s="19">
        <v>2170000</v>
      </c>
      <c r="Q43" s="19">
        <v>1833720</v>
      </c>
      <c r="R43" s="19">
        <v>1888590</v>
      </c>
      <c r="S43" s="19">
        <v>1916050</v>
      </c>
      <c r="T43" s="19">
        <v>2254250</v>
      </c>
    </row>
    <row r="44" spans="1:20" x14ac:dyDescent="0.3">
      <c r="A44" s="10" t="s">
        <v>1310</v>
      </c>
      <c r="B44" s="10" t="s">
        <v>1311</v>
      </c>
      <c r="C44" s="13" t="s">
        <v>65</v>
      </c>
      <c r="D44" s="13">
        <v>692500</v>
      </c>
      <c r="E44" s="13">
        <v>637857</v>
      </c>
      <c r="F44" s="13">
        <v>696250</v>
      </c>
      <c r="G44" s="13">
        <v>752228</v>
      </c>
      <c r="H44" s="13">
        <v>763750</v>
      </c>
      <c r="I44" s="13">
        <v>720989</v>
      </c>
      <c r="J44" s="13">
        <v>703750</v>
      </c>
      <c r="K44" s="13">
        <v>812244.875</v>
      </c>
      <c r="L44" s="13">
        <v>905275.5</v>
      </c>
      <c r="M44" s="13">
        <v>1866550</v>
      </c>
      <c r="N44" s="13">
        <v>240886</v>
      </c>
      <c r="O44" s="13">
        <v>1776250</v>
      </c>
      <c r="P44" s="13">
        <v>2170000</v>
      </c>
      <c r="Q44" s="13">
        <v>1833720</v>
      </c>
      <c r="R44" s="13">
        <v>1888590</v>
      </c>
      <c r="S44" s="13">
        <v>1916050</v>
      </c>
      <c r="T44" s="13">
        <v>2254250</v>
      </c>
    </row>
    <row r="45" spans="1:20" x14ac:dyDescent="0.3">
      <c r="A45" s="10" t="s">
        <v>1259</v>
      </c>
      <c r="B45" s="10" t="s">
        <v>1312</v>
      </c>
      <c r="C45" s="13" t="s">
        <v>65</v>
      </c>
      <c r="D45" s="13">
        <v>0</v>
      </c>
      <c r="E45" s="13">
        <v>377857</v>
      </c>
      <c r="F45" s="13">
        <v>750000</v>
      </c>
      <c r="G45" s="13">
        <v>825652</v>
      </c>
      <c r="H45" s="13">
        <v>0</v>
      </c>
      <c r="I45" s="13">
        <v>0</v>
      </c>
      <c r="J45" s="13">
        <v>0</v>
      </c>
      <c r="K45" s="13">
        <v>900000</v>
      </c>
      <c r="L45" s="13">
        <v>993960</v>
      </c>
      <c r="M45" s="13">
        <v>0</v>
      </c>
      <c r="N45" s="13">
        <v>1696130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</row>
    <row r="46" spans="1:20" x14ac:dyDescent="0.3">
      <c r="A46" s="10" t="s">
        <v>1313</v>
      </c>
      <c r="B46" s="10" t="s">
        <v>1314</v>
      </c>
      <c r="C46" s="14" t="s">
        <v>65</v>
      </c>
      <c r="D46" s="14">
        <v>0</v>
      </c>
      <c r="E46" s="14">
        <v>2</v>
      </c>
      <c r="F46" s="14">
        <v>1</v>
      </c>
      <c r="G46" s="14">
        <v>3</v>
      </c>
      <c r="H46" s="14">
        <v>1</v>
      </c>
      <c r="I46" s="14">
        <v>3</v>
      </c>
      <c r="J46" s="14">
        <v>1</v>
      </c>
      <c r="K46" s="14">
        <v>0</v>
      </c>
      <c r="L46" s="14">
        <v>0</v>
      </c>
      <c r="M46" s="14">
        <v>2</v>
      </c>
      <c r="N46" s="14">
        <v>3</v>
      </c>
      <c r="O46" s="14">
        <v>1</v>
      </c>
      <c r="P46" s="14">
        <v>2</v>
      </c>
      <c r="Q46" s="14">
        <v>2</v>
      </c>
      <c r="R46" s="14">
        <v>1</v>
      </c>
      <c r="S46" s="14">
        <v>2</v>
      </c>
      <c r="T46" s="14">
        <v>1</v>
      </c>
    </row>
    <row r="47" spans="1:20" x14ac:dyDescent="0.3">
      <c r="A47" s="10" t="s">
        <v>1315</v>
      </c>
      <c r="B47" s="10" t="s">
        <v>1316</v>
      </c>
      <c r="C47" s="12" t="s">
        <v>622</v>
      </c>
      <c r="D47" s="12" t="s">
        <v>1317</v>
      </c>
      <c r="E47" s="12" t="s">
        <v>1318</v>
      </c>
      <c r="F47" s="12" t="s">
        <v>1319</v>
      </c>
      <c r="G47" s="12" t="s">
        <v>1320</v>
      </c>
      <c r="H47" s="12" t="s">
        <v>1321</v>
      </c>
      <c r="I47" s="12" t="s">
        <v>1322</v>
      </c>
      <c r="J47" s="12" t="s">
        <v>1323</v>
      </c>
      <c r="K47" s="12" t="s">
        <v>1323</v>
      </c>
      <c r="L47" s="12" t="s">
        <v>1323</v>
      </c>
      <c r="M47" s="12" t="s">
        <v>1324</v>
      </c>
      <c r="N47" s="12" t="s">
        <v>1325</v>
      </c>
      <c r="O47" s="12" t="s">
        <v>1326</v>
      </c>
      <c r="P47" s="12" t="s">
        <v>30</v>
      </c>
      <c r="Q47" s="12" t="s">
        <v>1327</v>
      </c>
      <c r="R47" s="12" t="s">
        <v>1328</v>
      </c>
      <c r="S47" s="12" t="s">
        <v>1329</v>
      </c>
      <c r="T47" s="12" t="s">
        <v>1330</v>
      </c>
    </row>
    <row r="48" spans="1:20" x14ac:dyDescent="0.3">
      <c r="A48" s="10" t="s">
        <v>1331</v>
      </c>
      <c r="B48" s="10" t="s">
        <v>1332</v>
      </c>
      <c r="C48" s="14" t="s">
        <v>65</v>
      </c>
      <c r="D48" s="14">
        <v>6</v>
      </c>
      <c r="E48" s="14">
        <v>6</v>
      </c>
      <c r="F48" s="14">
        <v>6</v>
      </c>
      <c r="G48" s="14">
        <v>7</v>
      </c>
      <c r="H48" s="14">
        <v>7</v>
      </c>
      <c r="I48" s="14">
        <v>7</v>
      </c>
      <c r="J48" s="14">
        <v>7</v>
      </c>
      <c r="K48" s="14">
        <v>8</v>
      </c>
      <c r="L48" s="14">
        <v>8</v>
      </c>
      <c r="M48" s="14">
        <v>8</v>
      </c>
      <c r="N48" s="14">
        <v>9</v>
      </c>
      <c r="O48" s="14">
        <v>8</v>
      </c>
      <c r="P48" s="14">
        <v>9</v>
      </c>
      <c r="Q48" s="14">
        <v>9</v>
      </c>
      <c r="R48" s="14">
        <v>9</v>
      </c>
      <c r="S48" s="14">
        <v>10</v>
      </c>
      <c r="T48" s="14">
        <v>9</v>
      </c>
    </row>
    <row r="49" spans="1:20" x14ac:dyDescent="0.3">
      <c r="A49" s="7" t="s">
        <v>90</v>
      </c>
      <c r="B49" s="7"/>
      <c r="C49" s="7" t="s">
        <v>91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ABDA6886CF6498653E646AB2571ED" ma:contentTypeVersion="16" ma:contentTypeDescription="Create a new document." ma:contentTypeScope="" ma:versionID="235e0e40c567e6394453f2090fab65a6">
  <xsd:schema xmlns:xsd="http://www.w3.org/2001/XMLSchema" xmlns:xs="http://www.w3.org/2001/XMLSchema" xmlns:p="http://schemas.microsoft.com/office/2006/metadata/properties" xmlns:ns2="6ba73c8a-1af7-4183-b158-1cd1291da2b6" xmlns:ns3="8c89d0e4-a8d9-42ba-a773-c59a56f7723e" targetNamespace="http://schemas.microsoft.com/office/2006/metadata/properties" ma:root="true" ma:fieldsID="be2affa39fb2f3cdc665ba7b2e6a6e47" ns2:_="" ns3:_="">
    <xsd:import namespace="6ba73c8a-1af7-4183-b158-1cd1291da2b6"/>
    <xsd:import namespace="8c89d0e4-a8d9-42ba-a773-c59a56f772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a73c8a-1af7-4183-b158-1cd1291da2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48f9566-069b-479b-843d-4f6c74a4a3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d0e4-a8d9-42ba-a773-c59a56f7723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20a6b64-fbb8-4bf5-b941-ddf64427d44d}" ma:internalName="TaxCatchAll" ma:showField="CatchAllData" ma:web="8c89d0e4-a8d9-42ba-a773-c59a56f772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a73c8a-1af7-4183-b158-1cd1291da2b6">
      <Terms xmlns="http://schemas.microsoft.com/office/infopath/2007/PartnerControls"/>
    </lcf76f155ced4ddcb4097134ff3c332f>
    <TaxCatchAll xmlns="8c89d0e4-a8d9-42ba-a773-c59a56f7723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D0E953-538B-4002-B2CC-D9109FD26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a73c8a-1af7-4183-b158-1cd1291da2b6"/>
    <ds:schemaRef ds:uri="8c89d0e4-a8d9-42ba-a773-c59a56f772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5529D8-BE3E-4BAA-B579-245C1CAE0940}">
  <ds:schemaRefs>
    <ds:schemaRef ds:uri="http://purl.org/dc/elements/1.1/"/>
    <ds:schemaRef ds:uri="6ba73c8a-1af7-4183-b158-1cd1291da2b6"/>
    <ds:schemaRef ds:uri="http://purl.org/dc/dcmitype/"/>
    <ds:schemaRef ds:uri="8c89d0e4-a8d9-42ba-a773-c59a56f7723e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1BA3419-C071-44CF-AE82-6AF1A26AE6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Enterprise Value</vt:lpstr>
      <vt:lpstr>Multiples</vt:lpstr>
      <vt:lpstr>Income - GAAP</vt:lpstr>
      <vt:lpstr>Bal Sheet - Standardized</vt:lpstr>
      <vt:lpstr>Cash Flow - Standardized</vt:lpstr>
      <vt:lpstr>Profitability</vt:lpstr>
      <vt:lpstr>By Measure</vt:lpstr>
      <vt:lpstr>By Geography</vt:lpstr>
      <vt:lpstr>ESG - Overview</vt:lpstr>
      <vt:lpstr>Environmental</vt:lpstr>
      <vt:lpstr>Social</vt:lpstr>
      <vt:lpstr>Governance</vt:lpstr>
      <vt:lpstr>Exec &amp; Dir Comp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David Li</cp:lastModifiedBy>
  <cp:revision/>
  <dcterms:created xsi:type="dcterms:W3CDTF">2013-04-03T15:49:21Z</dcterms:created>
  <dcterms:modified xsi:type="dcterms:W3CDTF">2025-04-14T14:16:48Z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0x010100162ABDA6886CF6498653E646AB2571ED</vt:lpwstr>
  </property>
  <property fmtid="{D5CDD505-2E9C-101B-9397-08002B2CF9AE}" pid="3" name="MediaServiceImageTags">
    <vt:lpwstr/>
  </property>
</Properties>
</file>